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nfidential\DCHS\PHOCIS\Surveillance\COVID-19 Wastewater Surveillance\R Scripts\Cat R Scripts\Source files\"/>
    </mc:Choice>
  </mc:AlternateContent>
  <xr:revisionPtr revIDLastSave="0" documentId="13_ncr:1_{B8161E35-3654-43E8-8653-1A8949F1ECF7}" xr6:coauthVersionLast="47" xr6:coauthVersionMax="47" xr10:uidLastSave="{00000000-0000-0000-0000-000000000000}"/>
  <bookViews>
    <workbookView xWindow="-120" yWindow="-120" windowWidth="29040" windowHeight="15720" xr2:uid="{3A1737C1-9BA0-44C2-87D7-F20CDB3E04FA}"/>
  </bookViews>
  <sheets>
    <sheet name="0-4" sheetId="9" r:id="rId1"/>
    <sheet name="10-14" sheetId="6" r:id="rId2"/>
    <sheet name="15-19" sheetId="10" r:id="rId3"/>
    <sheet name="10-19" sheetId="5" r:id="rId4"/>
    <sheet name="20-29" sheetId="1" r:id="rId5"/>
    <sheet name="30-39" sheetId="2" r:id="rId6"/>
    <sheet name="40-49" sheetId="3" r:id="rId7"/>
    <sheet name="50-100" sheetId="4" r:id="rId8"/>
    <sheet name="100-1000" sheetId="7" r:id="rId9"/>
    <sheet name="Val Table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0" l="1"/>
  <c r="M2" i="10"/>
  <c r="L2" i="10"/>
  <c r="O2" i="6"/>
  <c r="M2" i="6"/>
  <c r="L2" i="6"/>
  <c r="O2" i="5"/>
  <c r="L2" i="5"/>
  <c r="M2" i="5"/>
  <c r="O2" i="9" l="1"/>
  <c r="M2" i="9"/>
  <c r="L2" i="9"/>
  <c r="Q2" i="9" s="1"/>
  <c r="N2" i="10" l="1"/>
  <c r="R2" i="10"/>
  <c r="P2" i="9"/>
  <c r="Q2" i="10"/>
  <c r="P2" i="10"/>
  <c r="N2" i="9"/>
  <c r="R2" i="9" s="1"/>
  <c r="O2" i="2" l="1"/>
  <c r="M2" i="2"/>
  <c r="L2" i="2"/>
  <c r="O2" i="4" l="1"/>
  <c r="M2" i="4"/>
  <c r="L2" i="4"/>
  <c r="O2" i="3"/>
  <c r="M2" i="3"/>
  <c r="L2" i="3"/>
  <c r="O2" i="7"/>
  <c r="M2" i="7"/>
  <c r="L2" i="7"/>
  <c r="Q2" i="7" l="1"/>
  <c r="P2" i="7"/>
  <c r="N2" i="7"/>
  <c r="R2" i="7" s="1"/>
  <c r="N2" i="6" l="1"/>
  <c r="R2" i="6" s="1"/>
  <c r="P2" i="6"/>
  <c r="Q2" i="6"/>
  <c r="N2" i="5"/>
  <c r="R2" i="5" s="1"/>
  <c r="P2" i="5"/>
  <c r="Q2" i="5"/>
  <c r="O2" i="1" l="1"/>
  <c r="M2" i="1"/>
  <c r="L2" i="1"/>
  <c r="N2" i="1" l="1"/>
  <c r="R2" i="1" s="1"/>
  <c r="P2" i="1"/>
  <c r="Q2" i="1"/>
  <c r="N2" i="4"/>
  <c r="R2" i="4" s="1"/>
  <c r="P2" i="4"/>
  <c r="Q2" i="4"/>
  <c r="N2" i="3"/>
  <c r="R2" i="3" s="1"/>
  <c r="P2" i="3"/>
  <c r="Q2" i="3"/>
  <c r="N2" i="2"/>
  <c r="R2" i="2" s="1"/>
  <c r="P2" i="2"/>
  <c r="Q2" i="2"/>
</calcChain>
</file>

<file path=xl/sharedStrings.xml><?xml version="1.0" encoding="utf-8"?>
<sst xmlns="http://schemas.openxmlformats.org/spreadsheetml/2006/main" count="1549" uniqueCount="538">
  <si>
    <t>Column1</t>
  </si>
  <si>
    <t>Key_ID</t>
  </si>
  <si>
    <t>Input Copies</t>
  </si>
  <si>
    <t>Library_Concetration</t>
  </si>
  <si>
    <t>0x Coverage</t>
  </si>
  <si>
    <t>&gt;10X Coverage</t>
  </si>
  <si>
    <t>Total Reads</t>
  </si>
  <si>
    <t>Coverage</t>
  </si>
  <si>
    <t>Run_ID</t>
  </si>
  <si>
    <t>% Failed</t>
  </si>
  <si>
    <t>A</t>
  </si>
  <si>
    <t>C</t>
  </si>
  <si>
    <t>B</t>
  </si>
  <si>
    <t>#A</t>
  </si>
  <si>
    <t>#B</t>
  </si>
  <si>
    <t>#A/B</t>
  </si>
  <si>
    <t>#C</t>
  </si>
  <si>
    <t>% PASS (A)</t>
  </si>
  <si>
    <t>% PASS (A/B)</t>
  </si>
  <si>
    <t>QCD</t>
  </si>
  <si>
    <t>Library Prep Input Copies</t>
  </si>
  <si>
    <t>0-4</t>
  </si>
  <si>
    <t>5-9</t>
  </si>
  <si>
    <t>10-19</t>
  </si>
  <si>
    <t>20-29</t>
  </si>
  <si>
    <t>30-39</t>
  </si>
  <si>
    <t>40-49</t>
  </si>
  <si>
    <t>50-99</t>
  </si>
  <si>
    <t>100-199</t>
  </si>
  <si>
    <t>WA1066314</t>
  </si>
  <si>
    <t>WA1080061</t>
  </si>
  <si>
    <t>WA1082501</t>
  </si>
  <si>
    <t>WA1078701</t>
  </si>
  <si>
    <t>WA1078275</t>
  </si>
  <si>
    <t>WA1075617</t>
  </si>
  <si>
    <t>WA1069417</t>
  </si>
  <si>
    <t>WA1082509</t>
  </si>
  <si>
    <t>WA1078948</t>
  </si>
  <si>
    <t>WA1077100</t>
  </si>
  <si>
    <t>WA1087975</t>
  </si>
  <si>
    <t>WA1083445</t>
  </si>
  <si>
    <t>WA1081778</t>
  </si>
  <si>
    <t>WA1076201</t>
  </si>
  <si>
    <t>WA1087977</t>
  </si>
  <si>
    <t>WA1081863</t>
  </si>
  <si>
    <t>WA1082484</t>
  </si>
  <si>
    <t>WA1087320</t>
  </si>
  <si>
    <t>WA1076199</t>
  </si>
  <si>
    <t>WA1075244</t>
  </si>
  <si>
    <t>WA1088568</t>
  </si>
  <si>
    <t>WA1079423</t>
  </si>
  <si>
    <t>WA1084312</t>
  </si>
  <si>
    <t>WA1081781</t>
  </si>
  <si>
    <t>WA1083448</t>
  </si>
  <si>
    <t>WA1075654</t>
  </si>
  <si>
    <t>WA1074830</t>
  </si>
  <si>
    <t>WA1080083</t>
  </si>
  <si>
    <t>WA1074344</t>
  </si>
  <si>
    <t>WA1074831</t>
  </si>
  <si>
    <t>WA1086755</t>
  </si>
  <si>
    <t>WA1079067</t>
  </si>
  <si>
    <t>WA1086300</t>
  </si>
  <si>
    <t>WA1071484</t>
  </si>
  <si>
    <t>WA1068555</t>
  </si>
  <si>
    <t>WA1070475</t>
  </si>
  <si>
    <t>WA1076757</t>
  </si>
  <si>
    <t>WA1089436</t>
  </si>
  <si>
    <t>WA1087659</t>
  </si>
  <si>
    <t>WA1088669</t>
  </si>
  <si>
    <t>WA1078604</t>
  </si>
  <si>
    <t>WA1085451</t>
  </si>
  <si>
    <t>WA1081780</t>
  </si>
  <si>
    <t>WA1086985</t>
  </si>
  <si>
    <t>WA1076455</t>
  </si>
  <si>
    <t>WA1085849</t>
  </si>
  <si>
    <t>WA1080368</t>
  </si>
  <si>
    <t>WA1088664</t>
  </si>
  <si>
    <t>WA1081382</t>
  </si>
  <si>
    <t>WA1079672</t>
  </si>
  <si>
    <t>WA1085455</t>
  </si>
  <si>
    <t>WA1077062</t>
  </si>
  <si>
    <t>WA1078612</t>
  </si>
  <si>
    <t>WA1088569</t>
  </si>
  <si>
    <t>WA1076766</t>
  </si>
  <si>
    <t>WA1076861</t>
  </si>
  <si>
    <t>WA1087324</t>
  </si>
  <si>
    <t>WA1088826</t>
  </si>
  <si>
    <t>WA1072349</t>
  </si>
  <si>
    <t>WA1086981</t>
  </si>
  <si>
    <t>WA1081858</t>
  </si>
  <si>
    <t>WA1086330</t>
  </si>
  <si>
    <t>WA1079148</t>
  </si>
  <si>
    <t>WA1072146</t>
  </si>
  <si>
    <t>WA1066557</t>
  </si>
  <si>
    <t>WA1088571</t>
  </si>
  <si>
    <t>WA1084481</t>
  </si>
  <si>
    <t>WA1089441</t>
  </si>
  <si>
    <t>WA1073470</t>
  </si>
  <si>
    <t>WA1076155</t>
  </si>
  <si>
    <t>WA1078945</t>
  </si>
  <si>
    <t>WA1077061</t>
  </si>
  <si>
    <t>WA1085834</t>
  </si>
  <si>
    <t>WA1081864</t>
  </si>
  <si>
    <t>WA1080087</t>
  </si>
  <si>
    <t>WA1078946</t>
  </si>
  <si>
    <t>WA1081860</t>
  </si>
  <si>
    <t>WA1074636</t>
  </si>
  <si>
    <t>WA1088920</t>
  </si>
  <si>
    <t>WA1077094</t>
  </si>
  <si>
    <t>WA1077922</t>
  </si>
  <si>
    <t>WA1065637</t>
  </si>
  <si>
    <t>WA1085308</t>
  </si>
  <si>
    <t>WA1073471</t>
  </si>
  <si>
    <t>WA1080369</t>
  </si>
  <si>
    <t>WA1086752</t>
  </si>
  <si>
    <t>WA1072144</t>
  </si>
  <si>
    <t>WA1079030</t>
  </si>
  <si>
    <t>WA1077925</t>
  </si>
  <si>
    <t>WA1078271</t>
  </si>
  <si>
    <t>WA1068751</t>
  </si>
  <si>
    <t>WA1088670</t>
  </si>
  <si>
    <t>WA1088564</t>
  </si>
  <si>
    <t>WA1083459</t>
  </si>
  <si>
    <t>WA1066565</t>
  </si>
  <si>
    <t>WA1085864</t>
  </si>
  <si>
    <t>WA1065976</t>
  </si>
  <si>
    <t>WA1075253</t>
  </si>
  <si>
    <t>WA1074337</t>
  </si>
  <si>
    <t>WA1079422</t>
  </si>
  <si>
    <t>WA1073461</t>
  </si>
  <si>
    <t>WA1080371</t>
  </si>
  <si>
    <t>WA1076141</t>
  </si>
  <si>
    <t>WA1075616</t>
  </si>
  <si>
    <t>WA1089444</t>
  </si>
  <si>
    <t>WA1087346</t>
  </si>
  <si>
    <t>WA1086751</t>
  </si>
  <si>
    <t>WA1080078</t>
  </si>
  <si>
    <t>WA1089435</t>
  </si>
  <si>
    <t>WA1082836</t>
  </si>
  <si>
    <t>WA1068766</t>
  </si>
  <si>
    <t>WA1066572</t>
  </si>
  <si>
    <t>WA1083451</t>
  </si>
  <si>
    <t>WA1083169</t>
  </si>
  <si>
    <t>WA1076756</t>
  </si>
  <si>
    <t>WA1089433</t>
  </si>
  <si>
    <t>WA1078287</t>
  </si>
  <si>
    <t>WA1079430</t>
  </si>
  <si>
    <t>WA1086756</t>
  </si>
  <si>
    <t>WA1089445</t>
  </si>
  <si>
    <t>WA1085312</t>
  </si>
  <si>
    <t>WA1087661</t>
  </si>
  <si>
    <t>WA1066562</t>
  </si>
  <si>
    <t>WA1074562</t>
  </si>
  <si>
    <t>WA1066186</t>
  </si>
  <si>
    <t>WA1077093</t>
  </si>
  <si>
    <t>WA1074997</t>
  </si>
  <si>
    <t>WA1066315</t>
  </si>
  <si>
    <t>WA1078269</t>
  </si>
  <si>
    <t>WA1072149</t>
  </si>
  <si>
    <t>WA1088567</t>
  </si>
  <si>
    <t>WA1075256</t>
  </si>
  <si>
    <t>WA1065638</t>
  </si>
  <si>
    <t>WA1085853</t>
  </si>
  <si>
    <t>WA1087664</t>
  </si>
  <si>
    <t>WA1080077</t>
  </si>
  <si>
    <t>WA1074638</t>
  </si>
  <si>
    <t>WA1076456</t>
  </si>
  <si>
    <t>WA1088570</t>
  </si>
  <si>
    <t>WA1069559</t>
  </si>
  <si>
    <t>WA1075657</t>
  </si>
  <si>
    <t>WA1081773</t>
  </si>
  <si>
    <t>WA1078601</t>
  </si>
  <si>
    <t>WA1087970</t>
  </si>
  <si>
    <t>WA1078704</t>
  </si>
  <si>
    <t>WA1079673</t>
  </si>
  <si>
    <t>WA1078286</t>
  </si>
  <si>
    <t>WA1086305</t>
  </si>
  <si>
    <t>WA1069423</t>
  </si>
  <si>
    <t>WA1068750</t>
  </si>
  <si>
    <t>WA1084493</t>
  </si>
  <si>
    <t>WA1077929</t>
  </si>
  <si>
    <t>WA1066571</t>
  </si>
  <si>
    <t>WA1076139</t>
  </si>
  <si>
    <t>WA1076196</t>
  </si>
  <si>
    <t>WA1089431</t>
  </si>
  <si>
    <t>WA1076759</t>
  </si>
  <si>
    <t>WA1076764</t>
  </si>
  <si>
    <t>WA1075627</t>
  </si>
  <si>
    <t>WA1074338</t>
  </si>
  <si>
    <t>WA1071477</t>
  </si>
  <si>
    <t>WA1081515</t>
  </si>
  <si>
    <t>WA1070727</t>
  </si>
  <si>
    <t>WA1071485</t>
  </si>
  <si>
    <t>WA1078273</t>
  </si>
  <si>
    <t>WA1086303</t>
  </si>
  <si>
    <t>WA1074645</t>
  </si>
  <si>
    <t>WA1076202</t>
  </si>
  <si>
    <t>WA1075246</t>
  </si>
  <si>
    <t>WA1074342</t>
  </si>
  <si>
    <t>WA1076496</t>
  </si>
  <si>
    <t>WA1088565</t>
  </si>
  <si>
    <t>WA1074635</t>
  </si>
  <si>
    <t>WA1085452</t>
  </si>
  <si>
    <t>WA1080461</t>
  </si>
  <si>
    <t>WA1081775</t>
  </si>
  <si>
    <t>WA1081774</t>
  </si>
  <si>
    <t>WA1066177</t>
  </si>
  <si>
    <t>WA1088923</t>
  </si>
  <si>
    <t>WA1087327</t>
  </si>
  <si>
    <t>WA1075257</t>
  </si>
  <si>
    <t>WA1076866</t>
  </si>
  <si>
    <t>WA1076493</t>
  </si>
  <si>
    <t>WA1076140</t>
  </si>
  <si>
    <t>WA1078628</t>
  </si>
  <si>
    <t>WA1074350</t>
  </si>
  <si>
    <t>WA1076765</t>
  </si>
  <si>
    <t>WA1076454</t>
  </si>
  <si>
    <t>WA1073830</t>
  </si>
  <si>
    <t>WA1076760</t>
  </si>
  <si>
    <t>WA1088668</t>
  </si>
  <si>
    <t>WA1074343</t>
  </si>
  <si>
    <t>WA1074644</t>
  </si>
  <si>
    <t>WA1065650</t>
  </si>
  <si>
    <t>WA1080378</t>
  </si>
  <si>
    <t>WA1089697</t>
  </si>
  <si>
    <t>WA1069554</t>
  </si>
  <si>
    <t>WA1088662</t>
  </si>
  <si>
    <t>WA1065643</t>
  </si>
  <si>
    <t>WA1069132</t>
  </si>
  <si>
    <t>WA1074314</t>
  </si>
  <si>
    <t>WA1075079</t>
  </si>
  <si>
    <t>WA1076423</t>
  </si>
  <si>
    <t>WA1085454</t>
  </si>
  <si>
    <t>WA1075252</t>
  </si>
  <si>
    <t>WA1084482</t>
  </si>
  <si>
    <t>WA1081385</t>
  </si>
  <si>
    <t>WA1079675</t>
  </si>
  <si>
    <t/>
  </si>
  <si>
    <t>WA1088573</t>
  </si>
  <si>
    <t>WA1086764</t>
  </si>
  <si>
    <t>WA1074637</t>
  </si>
  <si>
    <t>WA1073463</t>
  </si>
  <si>
    <t>WA1086749</t>
  </si>
  <si>
    <t>WA1070469</t>
  </si>
  <si>
    <t>WA1074639</t>
  </si>
  <si>
    <t>WA1076452</t>
  </si>
  <si>
    <t>WA1074347</t>
  </si>
  <si>
    <t>WA1067310</t>
  </si>
  <si>
    <t>WA1074340</t>
  </si>
  <si>
    <t>WA1079027</t>
  </si>
  <si>
    <t>WA1071483</t>
  </si>
  <si>
    <t>WA1076784</t>
  </si>
  <si>
    <t>WA1084313</t>
  </si>
  <si>
    <t>WA1086765</t>
  </si>
  <si>
    <t>WA1073468</t>
  </si>
  <si>
    <t>WA1078272</t>
  </si>
  <si>
    <t>WA1071907</t>
  </si>
  <si>
    <t>WA1065642</t>
  </si>
  <si>
    <t>WA1074317</t>
  </si>
  <si>
    <t>WA1065262</t>
  </si>
  <si>
    <t>WA1066316</t>
  </si>
  <si>
    <t>WA1076203</t>
  </si>
  <si>
    <t>WA1069051</t>
  </si>
  <si>
    <t>WA1065936</t>
  </si>
  <si>
    <t>WA1078627</t>
  </si>
  <si>
    <t>WA1076862</t>
  </si>
  <si>
    <t>WA1075628</t>
  </si>
  <si>
    <t>WA1071912</t>
  </si>
  <si>
    <t>WA1088584</t>
  </si>
  <si>
    <t>WA1077099</t>
  </si>
  <si>
    <t>WA1071800</t>
  </si>
  <si>
    <t>WA1079670</t>
  </si>
  <si>
    <t>WA1075622</t>
  </si>
  <si>
    <t>WA1069555</t>
  </si>
  <si>
    <t>WA1085838</t>
  </si>
  <si>
    <t>WA1081517</t>
  </si>
  <si>
    <t>WA1069055</t>
  </si>
  <si>
    <t>WA1081779</t>
  </si>
  <si>
    <t>WA1076495</t>
  </si>
  <si>
    <t>WA1071475</t>
  </si>
  <si>
    <t>WA1069911</t>
  </si>
  <si>
    <t>WA1074315</t>
  </si>
  <si>
    <t>WA1065977</t>
  </si>
  <si>
    <t>WA1066310</t>
  </si>
  <si>
    <t>WA1066181</t>
  </si>
  <si>
    <t>WA1065641</t>
  </si>
  <si>
    <t>WA1065639</t>
  </si>
  <si>
    <t>WA1087337</t>
  </si>
  <si>
    <t>WA1078283</t>
  </si>
  <si>
    <t>WA1065978</t>
  </si>
  <si>
    <t>WA1063521R</t>
  </si>
  <si>
    <t>WA1066179</t>
  </si>
  <si>
    <t>WA1065652</t>
  </si>
  <si>
    <t>WA1070873</t>
  </si>
  <si>
    <t>WA1070876</t>
  </si>
  <si>
    <t>WA1073466</t>
  </si>
  <si>
    <t>WA1073832</t>
  </si>
  <si>
    <t>WA1075624</t>
  </si>
  <si>
    <t>WA1065617</t>
  </si>
  <si>
    <t>WA1065940</t>
  </si>
  <si>
    <t>WA1065952</t>
  </si>
  <si>
    <t>WA1065260</t>
  </si>
  <si>
    <t>WA1066312</t>
  </si>
  <si>
    <t>WA1063530R</t>
  </si>
  <si>
    <t>WA1068755</t>
  </si>
  <si>
    <t>WA1063549R</t>
  </si>
  <si>
    <t>WA1069134</t>
  </si>
  <si>
    <t>WA1073844</t>
  </si>
  <si>
    <t>WA1071486</t>
  </si>
  <si>
    <t>WA1066561</t>
  </si>
  <si>
    <t>WA1066180</t>
  </si>
  <si>
    <t>WA1066569</t>
  </si>
  <si>
    <t>WA1066176</t>
  </si>
  <si>
    <t>WA1065951</t>
  </si>
  <si>
    <t>WA1069135</t>
  </si>
  <si>
    <t>WA1077936</t>
  </si>
  <si>
    <t>WA1074312</t>
  </si>
  <si>
    <t>WA1069912</t>
  </si>
  <si>
    <t>WA1073840</t>
  </si>
  <si>
    <t>WA1065949</t>
  </si>
  <si>
    <t>WA1074643</t>
  </si>
  <si>
    <t>WA1078274</t>
  </si>
  <si>
    <t>WA1068756</t>
  </si>
  <si>
    <t>WA1071801</t>
  </si>
  <si>
    <t>WA1076782</t>
  </si>
  <si>
    <t>WA1069048</t>
  </si>
  <si>
    <t>WA1082512</t>
  </si>
  <si>
    <t>WA1076767</t>
  </si>
  <si>
    <t>WA1077928</t>
  </si>
  <si>
    <t>WA1072141</t>
  </si>
  <si>
    <t>WA1069420</t>
  </si>
  <si>
    <t>WA1073837</t>
  </si>
  <si>
    <t>WA1073829</t>
  </si>
  <si>
    <t>WA1074313</t>
  </si>
  <si>
    <t>WA1072350</t>
  </si>
  <si>
    <t>WA1065944</t>
  </si>
  <si>
    <t>WA1069425</t>
  </si>
  <si>
    <t>WA1068437</t>
  </si>
  <si>
    <t>WA1087670</t>
  </si>
  <si>
    <t>WA1071368</t>
  </si>
  <si>
    <t>WA1074642</t>
  </si>
  <si>
    <t>WA1078282</t>
  </si>
  <si>
    <t>WA1067441</t>
  </si>
  <si>
    <t>WA1067440</t>
  </si>
  <si>
    <t>WA1070474</t>
  </si>
  <si>
    <t>WA1071479</t>
  </si>
  <si>
    <t>WA1087657</t>
  </si>
  <si>
    <t>WA1073467</t>
  </si>
  <si>
    <t>WA1066317</t>
  </si>
  <si>
    <t>WA1069137</t>
  </si>
  <si>
    <t>WA1071904</t>
  </si>
  <si>
    <t>WA1066566</t>
  </si>
  <si>
    <t>WA1083450</t>
  </si>
  <si>
    <t>WA1068765</t>
  </si>
  <si>
    <t>WA1074140</t>
  </si>
  <si>
    <t>WA1070394</t>
  </si>
  <si>
    <t>WA1070467</t>
  </si>
  <si>
    <t>WA1086302</t>
  </si>
  <si>
    <t>WA1071476</t>
  </si>
  <si>
    <t>WA1067312</t>
  </si>
  <si>
    <t>WA1088583</t>
  </si>
  <si>
    <t>WA1080070</t>
  </si>
  <si>
    <t>WA1066570</t>
  </si>
  <si>
    <t>WA1066173</t>
  </si>
  <si>
    <t>WA1065054</t>
  </si>
  <si>
    <t>WA1071816</t>
  </si>
  <si>
    <t>WA1069906</t>
  </si>
  <si>
    <t>WA1070468</t>
  </si>
  <si>
    <t>WA1069053</t>
  </si>
  <si>
    <t>WA1071803</t>
  </si>
  <si>
    <t>WA1071367</t>
  </si>
  <si>
    <t>WA1076453</t>
  </si>
  <si>
    <t>WA1067311</t>
  </si>
  <si>
    <t>WA1075255</t>
  </si>
  <si>
    <t>WA1075625</t>
  </si>
  <si>
    <t>WA1071369</t>
  </si>
  <si>
    <t>WA1067445</t>
  </si>
  <si>
    <t>WA1066184</t>
  </si>
  <si>
    <t>WA1070693</t>
  </si>
  <si>
    <t>WA1078942</t>
  </si>
  <si>
    <t>WA1073464</t>
  </si>
  <si>
    <t>WA1076449</t>
  </si>
  <si>
    <t>WA1066568</t>
  </si>
  <si>
    <t>WA1071370</t>
  </si>
  <si>
    <t>WA1065953</t>
  </si>
  <si>
    <t>WA1066564</t>
  </si>
  <si>
    <t>WA1068767</t>
  </si>
  <si>
    <t>WA1063533R</t>
  </si>
  <si>
    <t>WA1067315</t>
  </si>
  <si>
    <t>WA1065973</t>
  </si>
  <si>
    <t>WA1066182</t>
  </si>
  <si>
    <t>WA1066559</t>
  </si>
  <si>
    <t>WA1065616</t>
  </si>
  <si>
    <t>WA1066174</t>
  </si>
  <si>
    <t>WA1069995</t>
  </si>
  <si>
    <t>WA1075620</t>
  </si>
  <si>
    <t>WA1071909</t>
  </si>
  <si>
    <t>WA1069136</t>
  </si>
  <si>
    <t>WA1069424</t>
  </si>
  <si>
    <t>WA1066966</t>
  </si>
  <si>
    <t>WA1069133</t>
  </si>
  <si>
    <t>WA1067446</t>
  </si>
  <si>
    <t>WA1069054</t>
  </si>
  <si>
    <t>WA1071807</t>
  </si>
  <si>
    <t>WA1072348</t>
  </si>
  <si>
    <t>WA1069049</t>
  </si>
  <si>
    <t>WA1070732</t>
  </si>
  <si>
    <t>WA1070874</t>
  </si>
  <si>
    <t>WA1070397</t>
  </si>
  <si>
    <t>WA1070875</t>
  </si>
  <si>
    <t>WA1075623</t>
  </si>
  <si>
    <t>WA1073841</t>
  </si>
  <si>
    <t>WA1070723</t>
  </si>
  <si>
    <t>WA1067443</t>
  </si>
  <si>
    <t>WA1089424</t>
  </si>
  <si>
    <t>WA1070797</t>
  </si>
  <si>
    <t>WA1070465</t>
  </si>
  <si>
    <t>WA1076451</t>
  </si>
  <si>
    <t>WA1069422</t>
  </si>
  <si>
    <t>WA1067316</t>
  </si>
  <si>
    <t>WA1073460</t>
  </si>
  <si>
    <t>WA1066555</t>
  </si>
  <si>
    <t>WA1071908</t>
  </si>
  <si>
    <t>WA1070395</t>
  </si>
  <si>
    <t>WA1069046</t>
  </si>
  <si>
    <t>WA1066178</t>
  </si>
  <si>
    <t>WA1066175</t>
  </si>
  <si>
    <t>WA1072145</t>
  </si>
  <si>
    <t>WA1070472</t>
  </si>
  <si>
    <t>WA1074141</t>
  </si>
  <si>
    <t>WA1069421</t>
  </si>
  <si>
    <t>WA1070473</t>
  </si>
  <si>
    <t>WA1070877</t>
  </si>
  <si>
    <t>WA1071913</t>
  </si>
  <si>
    <t>WA1066558</t>
  </si>
  <si>
    <t>WA1067307</t>
  </si>
  <si>
    <t>WA1069915</t>
  </si>
  <si>
    <t>WA1069908</t>
  </si>
  <si>
    <t>WA1071806</t>
  </si>
  <si>
    <t>WA1069903</t>
  </si>
  <si>
    <t>WA1065066</t>
  </si>
  <si>
    <t>WA1070795</t>
  </si>
  <si>
    <t>WA1070470</t>
  </si>
  <si>
    <t>WA1067320</t>
  </si>
  <si>
    <t>WA1065938</t>
  </si>
  <si>
    <t>WA1073843</t>
  </si>
  <si>
    <t>WA1073834</t>
  </si>
  <si>
    <t>WA1069900</t>
  </si>
  <si>
    <t>WA1086759</t>
  </si>
  <si>
    <t>WA1073839</t>
  </si>
  <si>
    <t>WA1070726</t>
  </si>
  <si>
    <t>WA1065053</t>
  </si>
  <si>
    <t>WA1068451</t>
  </si>
  <si>
    <t>WA1065052</t>
  </si>
  <si>
    <t>WA1072238</t>
  </si>
  <si>
    <t>WA1070466</t>
  </si>
  <si>
    <t>WA1069412</t>
  </si>
  <si>
    <t>WA1088581</t>
  </si>
  <si>
    <t>WA1067321</t>
  </si>
  <si>
    <t>WA1068758</t>
  </si>
  <si>
    <t>WA1070694</t>
  </si>
  <si>
    <t>WA1069910</t>
  </si>
  <si>
    <t>WA1065937</t>
  </si>
  <si>
    <t>WA1070728</t>
  </si>
  <si>
    <t>WA1071911</t>
  </si>
  <si>
    <t>WA1069138</t>
  </si>
  <si>
    <t>WA1066556</t>
  </si>
  <si>
    <t>WA1073835</t>
  </si>
  <si>
    <t>WA1063534R</t>
  </si>
  <si>
    <t>WA1072143</t>
  </si>
  <si>
    <t>WA1072142</t>
  </si>
  <si>
    <t>WA1069418</t>
  </si>
  <si>
    <t>WA1073836</t>
  </si>
  <si>
    <t>WA1076768</t>
  </si>
  <si>
    <t>WA1086313</t>
  </si>
  <si>
    <t>WA1072147</t>
  </si>
  <si>
    <t>WA1071474</t>
  </si>
  <si>
    <t>WA1069909</t>
  </si>
  <si>
    <t>WA1069907</t>
  </si>
  <si>
    <t>WA1071903</t>
  </si>
  <si>
    <t>WA1070725</t>
  </si>
  <si>
    <t>WA1069052</t>
  </si>
  <si>
    <t>WA1071815</t>
  </si>
  <si>
    <t>WA1067309</t>
  </si>
  <si>
    <t>WA1066560</t>
  </si>
  <si>
    <t>WA1072150</t>
  </si>
  <si>
    <t>WA1071366</t>
  </si>
  <si>
    <t>WA1069901</t>
  </si>
  <si>
    <t>WA1069047</t>
  </si>
  <si>
    <t>WA1067444</t>
  </si>
  <si>
    <t>WA1070796</t>
  </si>
  <si>
    <t>WA1071804</t>
  </si>
  <si>
    <t>WA1065061</t>
  </si>
  <si>
    <t>WA1069131</t>
  </si>
  <si>
    <t>WA1066185</t>
  </si>
  <si>
    <t>WA1067317</t>
  </si>
  <si>
    <t>WA1072140</t>
  </si>
  <si>
    <t>WA1072148</t>
  </si>
  <si>
    <t>WA1078276</t>
  </si>
  <si>
    <t>WA1067314</t>
  </si>
  <si>
    <t>WA1065939</t>
  </si>
  <si>
    <t>WA1069904</t>
  </si>
  <si>
    <t>WA1067308</t>
  </si>
  <si>
    <t>WA1072239</t>
  </si>
  <si>
    <t>WA1067322</t>
  </si>
  <si>
    <t>WA1070398</t>
  </si>
  <si>
    <t>WA1072237</t>
  </si>
  <si>
    <t>WA1070729</t>
  </si>
  <si>
    <t>WA1067442</t>
  </si>
  <si>
    <t>WA1077930</t>
  </si>
  <si>
    <t>WA1065950</t>
  </si>
  <si>
    <t>WA1072139</t>
  </si>
  <si>
    <t>WA1070783</t>
  </si>
  <si>
    <t>WA1065945</t>
  </si>
  <si>
    <t>WA1070471</t>
  </si>
  <si>
    <t>WA1071905</t>
  </si>
  <si>
    <t>WA1076157</t>
  </si>
  <si>
    <t>WA1070782</t>
  </si>
  <si>
    <t>WA1069902</t>
  </si>
  <si>
    <t>WA1072152</t>
  </si>
  <si>
    <t>WA1085313</t>
  </si>
  <si>
    <t>WA1079024</t>
  </si>
  <si>
    <t>WA1087667</t>
  </si>
  <si>
    <t>WA1068768</t>
  </si>
  <si>
    <t>WA1078611</t>
  </si>
  <si>
    <t>WA1069913</t>
  </si>
  <si>
    <t>WA1069905</t>
  </si>
  <si>
    <t>WA1067318</t>
  </si>
  <si>
    <t>WA1069557</t>
  </si>
  <si>
    <t>WA1066857</t>
  </si>
  <si>
    <t>WA1070731</t>
  </si>
  <si>
    <t>WA1083161</t>
  </si>
  <si>
    <t>WA1071805</t>
  </si>
  <si>
    <t>WA1071478</t>
  </si>
  <si>
    <t>WA1066311</t>
  </si>
  <si>
    <t>WA1065941</t>
  </si>
  <si>
    <t>WA1081783</t>
  </si>
  <si>
    <t>WA1067319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</si>
</sst>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1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0" xfId="0" applyFont="1" applyFill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0" borderId="13" xfId="0" applyBorder="1"/>
    <xf numFmtId="49" fontId="0" fillId="0" borderId="0" xfId="0" applyNumberFormat="1"/>
    <xf numFmtId="0" fontId="0" fillId="0" borderId="0" xfId="0" applyAlignment="1">
      <alignment horizontal="center" vertical="center"/>
    </xf>
    <xf numFmtId="49" fontId="2" fillId="0" borderId="14" xfId="0" applyNumberFormat="1" applyFont="1" applyBorder="1"/>
    <xf numFmtId="49" fontId="2" fillId="0" borderId="16" xfId="0" applyNumberFormat="1" applyFont="1" applyBorder="1"/>
    <xf numFmtId="0" fontId="0" fillId="0" borderId="17" xfId="0" applyBorder="1"/>
    <xf numFmtId="49" fontId="2" fillId="0" borderId="19" xfId="0" applyNumberFormat="1" applyFont="1" applyBorder="1"/>
    <xf numFmtId="0" fontId="0" fillId="0" borderId="20" xfId="0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13" xfId="0" applyNumberFormat="1" applyBorder="1"/>
    <xf numFmtId="2" fontId="0" fillId="0" borderId="15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8" xfId="0" applyNumberFormat="1" applyBorder="1"/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6C449C-9604-4E34-A3F9-85F21A19F289}" name="Table4" displayName="Table4" ref="A1:I124" totalsRowShown="0" headerRowDxfId="47">
  <autoFilter ref="A1:I124" xr:uid="{156C449C-9604-4E34-A3F9-85F21A19F289}"/>
  <sortState xmlns:xlrd2="http://schemas.microsoft.com/office/spreadsheetml/2017/richdata2" ref="A2:I124">
    <sortCondition ref="B1:B124"/>
  </sortState>
  <tableColumns count="9">
    <tableColumn id="1" xr3:uid="{E997AC02-9A4E-4664-A641-92DC6C44C0A1}" name="Key_ID"/>
    <tableColumn id="2" xr3:uid="{8852D600-A914-4AB3-86B1-A31333AE8318}" name="Input Copies"/>
    <tableColumn id="3" xr3:uid="{571E1100-8ED6-4403-95BB-AD8CB0C87758}" name="Library_Concetration"/>
    <tableColumn id="4" xr3:uid="{F738B03B-348F-438D-850E-6975702C099A}" name="0x Coverage"/>
    <tableColumn id="5" xr3:uid="{61946B76-4D67-4EDD-824D-ACA5F26A15FC}" name="&gt;10X Coverage"/>
    <tableColumn id="6" xr3:uid="{E5DB0A12-4B40-44DE-BE1F-44CBF1EE8CF8}" name="Total Reads"/>
    <tableColumn id="7" xr3:uid="{EB3C89A7-5906-4BA7-8073-366FC2D77F5E}" name="Coverage"/>
    <tableColumn id="8" xr3:uid="{EFB4A220-B9B2-40DA-A3DD-F1FF1A43CE19}" name="Run_ID"/>
    <tableColumn id="9" xr3:uid="{6F24CF4F-1CD9-4699-AD8B-BBD10E03B95E}" name="QCD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9B9DC0-80E4-46E8-AD46-C79B145DA140}" name="Table5" displayName="Table5" ref="A1:I182" totalsRowShown="0">
  <autoFilter ref="A1:I182" xr:uid="{489B9DC0-80E4-46E8-AD46-C79B145DA140}"/>
  <sortState xmlns:xlrd2="http://schemas.microsoft.com/office/spreadsheetml/2017/richdata2" ref="A2:I182">
    <sortCondition ref="B1:B182"/>
  </sortState>
  <tableColumns count="9">
    <tableColumn id="1" xr3:uid="{3AA3F3DF-0E4C-4ED4-A4B6-79951F6ECF41}" name="Key_ID"/>
    <tableColumn id="2" xr3:uid="{A1873311-C8BC-437D-8434-EB9E9E15C8C2}" name="Input Copies"/>
    <tableColumn id="3" xr3:uid="{0F59E8D1-449C-4D06-8744-79F54B11925C}" name="Library_Concetration"/>
    <tableColumn id="4" xr3:uid="{4839AECE-804B-4CC6-A33F-8813375BE8DC}" name="0x Coverage"/>
    <tableColumn id="5" xr3:uid="{DAD6BA54-2670-4893-B398-A1F4451FC1E8}" name="&gt;10X Coverage"/>
    <tableColumn id="6" xr3:uid="{11BCB40D-1D2C-4088-9645-8BE2CCFE2BA8}" name="Total Reads"/>
    <tableColumn id="7" xr3:uid="{D1332B34-A176-4033-82C8-7C65830B8B0C}" name="Coverage"/>
    <tableColumn id="8" xr3:uid="{475FAE03-9FB4-478B-A3FB-596FE18AA44D}" name="Run_ID"/>
    <tableColumn id="9" xr3:uid="{70B8F1A3-D13B-4618-8D38-E3E6197F70A5}" name="Column1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CA951C-2E41-414D-B4D3-4F6FE94DF831}" name="Table1" displayName="Table1" ref="A1:I121" totalsRowShown="0" headerRowDxfId="46" dataDxfId="45" tableBorderDxfId="44">
  <autoFilter ref="A1:I121" xr:uid="{17CA951C-2E41-414D-B4D3-4F6FE94DF831}"/>
  <tableColumns count="9">
    <tableColumn id="1" xr3:uid="{76828A1B-DC32-4A9C-B7E5-F09325A04B8D}" name="Key_ID" dataDxfId="43"/>
    <tableColumn id="2" xr3:uid="{AB9AAE40-C95F-442E-94CD-0337D7301F3A}" name="Input Copies" dataDxfId="42"/>
    <tableColumn id="3" xr3:uid="{E25B5C84-2831-42C3-9791-172FD09FC4EE}" name="Library_Concetration" dataDxfId="41"/>
    <tableColumn id="4" xr3:uid="{56729063-E6D8-4270-BAB5-E344194CAC4F}" name="0x Coverage" dataDxfId="40"/>
    <tableColumn id="5" xr3:uid="{EC93B028-2CB2-4BC2-97D3-726EC4137BAD}" name="&gt;10X Coverage" dataDxfId="39"/>
    <tableColumn id="6" xr3:uid="{98CE25D0-0636-4410-8A19-23EEC50A3DCB}" name="Total Reads" dataDxfId="38"/>
    <tableColumn id="7" xr3:uid="{7B33CCB5-4CDC-43CC-9DBF-CEDC360606B3}" name="Coverage" dataDxfId="37"/>
    <tableColumn id="8" xr3:uid="{A108A4A6-26CE-4D53-BEFD-06FA99F4A5BA}" name="Run_ID" dataDxfId="36"/>
    <tableColumn id="9" xr3:uid="{425ACC55-8CA5-481B-877C-183AD9802B0C}" name="Column1" dataDxfId="35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D5C44A-3E39-46E0-B9F0-25733BE09505}" name="Table2" displayName="Table2" ref="L1:R2" totalsRowShown="0">
  <autoFilter ref="L1:R2" xr:uid="{1FD5C44A-3E39-46E0-B9F0-25733BE09505}"/>
  <tableColumns count="7">
    <tableColumn id="1" xr3:uid="{731F35D1-3810-462C-8D94-0C95F7F12EBA}" name="#A">
      <calculatedColumnFormula>COUNTIF(Table1[Column1],"A")</calculatedColumnFormula>
    </tableColumn>
    <tableColumn id="2" xr3:uid="{8671E998-362C-4D2F-A02B-74AB0BCDDE52}" name="#B">
      <calculatedColumnFormula>COUNTIF(Table1[Column1],"B")</calculatedColumnFormula>
    </tableColumn>
    <tableColumn id="3" xr3:uid="{CB5E84BD-6CEC-4489-BCC4-5F0F928020B6}" name="#A/B">
      <calculatedColumnFormula>SUM(L2:M2)</calculatedColumnFormula>
    </tableColumn>
    <tableColumn id="4" xr3:uid="{0D7A730D-F723-4CD5-AEE3-39BA405CA491}" name="#C">
      <calculatedColumnFormula>COUNTIF(Table1[Column1],"C")</calculatedColumnFormula>
    </tableColumn>
    <tableColumn id="5" xr3:uid="{10688AF7-5B97-4FD9-BB08-668EAB8BDF30}" name="% Failed">
      <calculatedColumnFormula>(O2/(L2+M2+O2))*100</calculatedColumnFormula>
    </tableColumn>
    <tableColumn id="6" xr3:uid="{8839B578-A5DB-4D6E-A61C-501AB09EEAE6}" name="% PASS (A)">
      <calculatedColumnFormula>(L2/(L2+M2+O2))*100</calculatedColumnFormula>
    </tableColumn>
    <tableColumn id="7" xr3:uid="{1A927C6D-92B7-4605-A925-0FC477CDC744}" name="% PASS (A/B)">
      <calculatedColumnFormula>(N2/(N2+O2))*100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94121-67EA-4A28-9611-5BF77D47BFC3}" name="Table3" displayName="Table3" ref="A1:I91" totalsRowShown="0" headerRowDxfId="34" dataDxfId="33" tableBorderDxfId="32">
  <autoFilter ref="A1:I91" xr:uid="{56B94121-67EA-4A28-9611-5BF77D47BFC3}"/>
  <tableColumns count="9">
    <tableColumn id="1" xr3:uid="{30D0C486-D8DB-45AF-8427-FA9725EF2EB0}" name="Key_ID" dataDxfId="31"/>
    <tableColumn id="2" xr3:uid="{4F8503BE-53B6-49CF-B92C-CDF2BCDB59DC}" name="Input Copies" dataDxfId="30"/>
    <tableColumn id="3" xr3:uid="{4E51A996-87F9-4A53-9EDC-8FA46843CD12}" name="Library_Concetration" dataDxfId="29"/>
    <tableColumn id="4" xr3:uid="{F92CC265-DDE9-4228-A4AB-FA7E777C1820}" name="0x Coverage" dataDxfId="28"/>
    <tableColumn id="5" xr3:uid="{7B3BDE7B-4440-4990-B304-2B3C93AACB30}" name="&gt;10X Coverage" dataDxfId="27"/>
    <tableColumn id="6" xr3:uid="{3CDE0EC1-D1FF-42C5-9677-F76D719EC661}" name="Total Reads" dataDxfId="26"/>
    <tableColumn id="7" xr3:uid="{116917F7-054C-4422-A32F-94B7F28BE031}" name="Coverage" dataDxfId="25"/>
    <tableColumn id="8" xr3:uid="{7FD4DE30-E6FD-4BBF-B60C-7D49A8EA03FE}" name="Run_ID" dataDxfId="24"/>
    <tableColumn id="9" xr3:uid="{FA9F4554-E678-45EF-9E52-5340A3121311}" name="Column1" dataDxfId="23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ADCE9B-CAEE-4276-A580-DC0BC701D9BD}" name="Table6" displayName="Table6" ref="A1:I75" totalsRowShown="0" headerRowDxfId="22" dataDxfId="21" tableBorderDxfId="20">
  <autoFilter ref="A1:I75" xr:uid="{52ADCE9B-CAEE-4276-A580-DC0BC701D9BD}"/>
  <tableColumns count="9">
    <tableColumn id="1" xr3:uid="{A86B3581-91E5-4806-87AA-A0511DA1D3F0}" name="Key_ID" dataDxfId="19"/>
    <tableColumn id="2" xr3:uid="{378AFAD7-454F-4D85-8FBF-785EF871DF57}" name="Input Copies" dataDxfId="18"/>
    <tableColumn id="3" xr3:uid="{C2F5C671-0909-478F-93BB-1A715991DA11}" name="Library_Concetration" dataDxfId="17"/>
    <tableColumn id="4" xr3:uid="{57D9E13B-EBFA-4319-8F4D-B7BDF0B9C742}" name="0x Coverage" dataDxfId="16"/>
    <tableColumn id="5" xr3:uid="{20AA9D8C-D997-4678-B0D5-714FF4F91AB2}" name="&gt;10X Coverage" dataDxfId="15"/>
    <tableColumn id="6" xr3:uid="{9CD7BD00-2528-4B7F-AFED-0221E7C13982}" name="Total Reads" dataDxfId="14"/>
    <tableColumn id="7" xr3:uid="{0BF6BB86-1CA0-4009-86DF-963A1CC3F492}" name="Coverage" dataDxfId="13"/>
    <tableColumn id="8" xr3:uid="{672E14C5-984D-4810-94CA-C1B15567224D}" name="Run_ID" dataDxfId="12"/>
    <tableColumn id="9" xr3:uid="{4E5DE7D5-57B5-48CF-B0CA-B334AE90A624}" name="QCD" dataDxfId="11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A9D0B2-6C2B-467B-841A-2F49D9FB498F}" name="Table8" displayName="Table8" ref="A1:I312" totalsRowShown="0" headerRowDxfId="10">
  <autoFilter ref="A1:I312" xr:uid="{8FA9D0B2-6C2B-467B-841A-2F49D9FB498F}"/>
  <tableColumns count="9">
    <tableColumn id="1" xr3:uid="{C437AC35-1AF6-4635-AC37-DBA28F4872F9}" name="Key_ID"/>
    <tableColumn id="2" xr3:uid="{85C360AF-3DF4-462B-AE83-F34733AA0F16}" name="Input Copies"/>
    <tableColumn id="3" xr3:uid="{817F8A63-128A-45CF-AEEA-609CFEB6DFC6}" name="Library_Concetration"/>
    <tableColumn id="4" xr3:uid="{BB0BDED3-3E81-432B-B7F9-7709FF194170}" name="0x Coverage" dataDxfId="9"/>
    <tableColumn id="5" xr3:uid="{F95A5BAC-7CE7-403F-9E22-3D9137E3F9C7}" name="&gt;10X Coverage" dataDxfId="8"/>
    <tableColumn id="6" xr3:uid="{50661D25-5CE9-4ECB-BD0E-E9F7F2B8F1DB}" name="Total Reads"/>
    <tableColumn id="7" xr3:uid="{3E858D99-6E4A-45E4-9A67-3720C9F5A29F}" name="Coverage"/>
    <tableColumn id="8" xr3:uid="{8672828C-9284-444E-B3FC-44BAD55ECC4D}" name="Run_ID"/>
    <tableColumn id="9" xr3:uid="{39D914D4-FF9A-41CE-BC9D-00023A12EDAE}" name="QCD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155F0E-5259-4261-86DD-F9DD1EA3C888}" name="Table7" displayName="Table7" ref="A1:I318" totalsRowShown="0">
  <autoFilter ref="A1:I318" xr:uid="{2B155F0E-5259-4261-86DD-F9DD1EA3C888}"/>
  <tableColumns count="9">
    <tableColumn id="1" xr3:uid="{C47E329B-128B-4DAF-A359-5E5B9EDA2FE5}" name="Key_ID"/>
    <tableColumn id="2" xr3:uid="{7756BB94-740E-45E7-9171-2F792645046C}" name="Input Copies"/>
    <tableColumn id="3" xr3:uid="{9F517B94-33BC-4AB0-855E-8C84F7CEA624}" name="Library_Concetration"/>
    <tableColumn id="4" xr3:uid="{A24FFEA0-88A0-49B2-B2C0-D285E40B120E}" name="0x Coverage"/>
    <tableColumn id="5" xr3:uid="{14F8B53A-55E5-4070-A07D-A046DEF57F67}" name="&gt;10X Coverage"/>
    <tableColumn id="6" xr3:uid="{BBCF6963-D435-4187-8531-03052EF2EE6A}" name="Total Reads"/>
    <tableColumn id="7" xr3:uid="{2C74C7B2-5F4A-47FD-9A58-842C27587574}" name="Coverage"/>
    <tableColumn id="8" xr3:uid="{B5B26193-6F84-4A64-B0B6-A7EF61A22E49}" name="Run_ID"/>
    <tableColumn id="9" xr3:uid="{BEAE7303-3971-4C66-AF7B-1648F93D9C69}" name="QC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C510-9BD2-4632-837D-EAB15801DCD9}">
  <dimension ref="A1:R2"/>
  <sheetViews>
    <sheetView tabSelected="1" workbookViewId="0">
      <selection activeCell="O24" sqref="O24"/>
    </sheetView>
  </sheetViews>
  <sheetFormatPr defaultRowHeight="15" x14ac:dyDescent="0.25"/>
  <cols>
    <col min="1" max="1" width="6.85546875" bestFit="1" customWidth="1"/>
    <col min="2" max="2" width="11.7109375" bestFit="1" customWidth="1"/>
    <col min="3" max="3" width="19.140625" bestFit="1" customWidth="1"/>
    <col min="4" max="4" width="11.28515625" bestFit="1" customWidth="1"/>
    <col min="5" max="5" width="13.5703125" bestFit="1" customWidth="1"/>
    <col min="6" max="6" width="10.7109375" bestFit="1" customWidth="1"/>
    <col min="7" max="7" width="9" bestFit="1" customWidth="1"/>
    <col min="8" max="8" width="7.140625" bestFit="1" customWidth="1"/>
    <col min="9" max="9" width="4.7109375" bestFit="1" customWidth="1"/>
  </cols>
  <sheetData>
    <row r="1" spans="1:18" x14ac:dyDescent="0.25">
      <c r="A1" s="8" t="s">
        <v>1</v>
      </c>
      <c r="B1" s="9" t="s">
        <v>2</v>
      </c>
      <c r="C1" s="9" t="s">
        <v>3</v>
      </c>
      <c r="D1" s="10" t="s">
        <v>4</v>
      </c>
      <c r="E1" s="10" t="s">
        <v>5</v>
      </c>
      <c r="F1" s="9" t="s">
        <v>6</v>
      </c>
      <c r="G1" s="9" t="s">
        <v>7</v>
      </c>
      <c r="H1" s="4" t="s">
        <v>8</v>
      </c>
      <c r="I1" s="4" t="s">
        <v>19</v>
      </c>
      <c r="L1" s="5" t="s">
        <v>13</v>
      </c>
      <c r="M1" s="6" t="s">
        <v>14</v>
      </c>
      <c r="N1" s="6" t="s">
        <v>15</v>
      </c>
      <c r="O1" s="6" t="s">
        <v>16</v>
      </c>
      <c r="P1" s="6" t="s">
        <v>9</v>
      </c>
      <c r="Q1" s="6" t="s">
        <v>17</v>
      </c>
      <c r="R1" s="7" t="s">
        <v>18</v>
      </c>
    </row>
    <row r="2" spans="1:18" x14ac:dyDescent="0.25">
      <c r="L2">
        <f>COUNTIF(I2:I124,"A")</f>
        <v>0</v>
      </c>
      <c r="M2">
        <f>COUNTIF(I2:I124,"B")</f>
        <v>0</v>
      </c>
      <c r="N2">
        <f>SUM(L2:M2)</f>
        <v>0</v>
      </c>
      <c r="O2">
        <f>COUNTIF(I1:I56,"C")</f>
        <v>0</v>
      </c>
      <c r="P2" t="e">
        <f>(O2/(L2+M2+O2))*100</f>
        <v>#DIV/0!</v>
      </c>
      <c r="Q2" t="e">
        <f>(L2/(L2+M2+O2))*100</f>
        <v>#DIV/0!</v>
      </c>
      <c r="R2" t="e">
        <f>(N2/(N2+O2))*100</f>
        <v>#DIV/0!</v>
      </c>
    </row>
  </sheetData>
  <conditionalFormatting sqref="A1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7AE6-98F4-4F0B-B480-53C5B864F698}">
  <dimension ref="A1:R112"/>
  <sheetViews>
    <sheetView workbookViewId="0">
      <selection activeCell="M2" sqref="M2"/>
    </sheetView>
  </sheetViews>
  <sheetFormatPr defaultRowHeight="15" x14ac:dyDescent="0.25"/>
  <cols>
    <col min="1" max="1" width="20" customWidth="1"/>
    <col min="2" max="2" width="21.140625" customWidth="1"/>
    <col min="3" max="3" width="24.28515625" hidden="1" customWidth="1"/>
    <col min="4" max="4" width="20" customWidth="1"/>
    <col min="5" max="5" width="24.28515625" customWidth="1"/>
    <col min="6" max="6" width="29.28515625" customWidth="1"/>
    <col min="7" max="7" width="16.85546875" customWidth="1"/>
    <col min="8" max="8" width="9.28515625" customWidth="1"/>
    <col min="16" max="16" width="14.42578125" customWidth="1"/>
    <col min="17" max="17" width="11.28515625" customWidth="1"/>
    <col min="18" max="18" width="16.7109375" customWidth="1"/>
  </cols>
  <sheetData>
    <row r="1" spans="1:18" x14ac:dyDescent="0.25">
      <c r="A1" s="8" t="s">
        <v>1</v>
      </c>
      <c r="B1" s="9" t="s">
        <v>2</v>
      </c>
      <c r="C1" s="9" t="s">
        <v>3</v>
      </c>
      <c r="D1" s="10" t="s">
        <v>4</v>
      </c>
      <c r="E1" s="10" t="s">
        <v>5</v>
      </c>
      <c r="F1" s="9" t="s">
        <v>6</v>
      </c>
      <c r="G1" s="9" t="s">
        <v>7</v>
      </c>
      <c r="H1" s="4" t="s">
        <v>8</v>
      </c>
      <c r="I1" s="11" t="s">
        <v>19</v>
      </c>
      <c r="L1" s="5" t="s">
        <v>13</v>
      </c>
      <c r="M1" s="6" t="s">
        <v>14</v>
      </c>
      <c r="N1" s="6" t="s">
        <v>15</v>
      </c>
      <c r="O1" s="6" t="s">
        <v>16</v>
      </c>
      <c r="P1" s="6" t="s">
        <v>9</v>
      </c>
      <c r="Q1" s="6" t="s">
        <v>17</v>
      </c>
      <c r="R1" s="7" t="s">
        <v>18</v>
      </c>
    </row>
    <row r="2" spans="1:18" x14ac:dyDescent="0.25">
      <c r="A2" t="s">
        <v>29</v>
      </c>
      <c r="B2">
        <v>9.1928000000000001</v>
      </c>
      <c r="C2">
        <v>2.8620000000000001</v>
      </c>
      <c r="E2">
        <v>77.383540113032097</v>
      </c>
      <c r="F2">
        <v>1030410</v>
      </c>
      <c r="G2">
        <v>2648.37</v>
      </c>
      <c r="H2">
        <v>202</v>
      </c>
      <c r="I2" t="s">
        <v>12</v>
      </c>
      <c r="L2">
        <f>COUNTIF(I:I,"A")</f>
        <v>3</v>
      </c>
      <c r="M2">
        <f>COUNTIF(I:I,"B")</f>
        <v>45</v>
      </c>
      <c r="N2">
        <f>SUM(L2:M2)</f>
        <v>48</v>
      </c>
      <c r="O2">
        <f>COUNTIF(I:I,"C")</f>
        <v>63</v>
      </c>
      <c r="P2">
        <f>(O2/(L2+M2+O2))*100</f>
        <v>56.756756756756758</v>
      </c>
      <c r="Q2">
        <f>(L2/(L2+M2+O2))*100</f>
        <v>2.7027027027027026</v>
      </c>
      <c r="R2">
        <f>(N2/(N2+O2))*100</f>
        <v>43.243243243243242</v>
      </c>
    </row>
    <row r="3" spans="1:18" x14ac:dyDescent="0.25">
      <c r="A3" t="s">
        <v>30</v>
      </c>
      <c r="B3">
        <v>10.118848999999999</v>
      </c>
      <c r="C3">
        <v>2.504</v>
      </c>
      <c r="E3">
        <v>55.964284519947803</v>
      </c>
      <c r="F3">
        <v>4271092</v>
      </c>
      <c r="G3">
        <v>5438.14</v>
      </c>
      <c r="H3">
        <v>216</v>
      </c>
      <c r="I3" t="s">
        <v>11</v>
      </c>
    </row>
    <row r="4" spans="1:18" x14ac:dyDescent="0.25">
      <c r="A4" t="s">
        <v>31</v>
      </c>
      <c r="B4">
        <v>10.563227999999999</v>
      </c>
      <c r="C4">
        <v>1.746</v>
      </c>
      <c r="E4">
        <v>70.247132394743005</v>
      </c>
      <c r="F4">
        <v>2559502</v>
      </c>
      <c r="G4">
        <v>3168.34</v>
      </c>
      <c r="H4">
        <v>218</v>
      </c>
      <c r="I4" t="s">
        <v>12</v>
      </c>
    </row>
    <row r="5" spans="1:18" x14ac:dyDescent="0.25">
      <c r="A5" t="s">
        <v>32</v>
      </c>
      <c r="B5">
        <v>10.564879000000001</v>
      </c>
      <c r="C5">
        <v>1.9339999999999999</v>
      </c>
      <c r="E5">
        <v>66.658863659164595</v>
      </c>
      <c r="F5">
        <v>2929250</v>
      </c>
      <c r="G5">
        <v>5338.76</v>
      </c>
      <c r="H5">
        <v>215</v>
      </c>
      <c r="I5" t="s">
        <v>12</v>
      </c>
    </row>
    <row r="6" spans="1:18" x14ac:dyDescent="0.25">
      <c r="A6" t="s">
        <v>33</v>
      </c>
      <c r="B6">
        <v>10.567791</v>
      </c>
      <c r="C6">
        <v>4.4649999999999999</v>
      </c>
      <c r="E6">
        <v>29.806373942413799</v>
      </c>
      <c r="F6">
        <v>666140</v>
      </c>
      <c r="G6">
        <v>389.779</v>
      </c>
      <c r="H6">
        <v>214</v>
      </c>
      <c r="I6" t="s">
        <v>11</v>
      </c>
    </row>
    <row r="7" spans="1:18" x14ac:dyDescent="0.25">
      <c r="A7" t="s">
        <v>34</v>
      </c>
      <c r="B7">
        <v>10.571106</v>
      </c>
      <c r="C7">
        <v>6.3490000000000002</v>
      </c>
      <c r="E7">
        <v>71.340668160385206</v>
      </c>
      <c r="F7">
        <v>431602</v>
      </c>
      <c r="G7">
        <v>882.78700000000003</v>
      </c>
      <c r="H7">
        <v>211</v>
      </c>
      <c r="I7" t="s">
        <v>12</v>
      </c>
    </row>
    <row r="8" spans="1:18" x14ac:dyDescent="0.25">
      <c r="A8" t="s">
        <v>35</v>
      </c>
      <c r="B8">
        <v>10.572354000000001</v>
      </c>
      <c r="C8">
        <v>3.44</v>
      </c>
      <c r="E8">
        <v>69.467946359896999</v>
      </c>
      <c r="F8">
        <v>892826</v>
      </c>
      <c r="G8">
        <v>1382.15</v>
      </c>
      <c r="H8">
        <v>205</v>
      </c>
      <c r="I8" t="s">
        <v>12</v>
      </c>
    </row>
    <row r="9" spans="1:18" x14ac:dyDescent="0.25">
      <c r="A9" t="s">
        <v>36</v>
      </c>
      <c r="B9">
        <v>10.57485</v>
      </c>
      <c r="C9">
        <v>2.3039999999999998</v>
      </c>
      <c r="E9">
        <v>50.0083603651807</v>
      </c>
      <c r="F9">
        <v>2747148</v>
      </c>
      <c r="G9">
        <v>3428.78</v>
      </c>
      <c r="H9">
        <v>218</v>
      </c>
      <c r="I9" t="s">
        <v>11</v>
      </c>
    </row>
    <row r="10" spans="1:18" x14ac:dyDescent="0.25">
      <c r="A10" t="s">
        <v>37</v>
      </c>
      <c r="B10">
        <v>10.578593999999999</v>
      </c>
      <c r="C10">
        <v>1.4419999999999999</v>
      </c>
      <c r="E10">
        <v>39.778617530013697</v>
      </c>
      <c r="F10">
        <v>1900508</v>
      </c>
      <c r="G10">
        <v>2054.88</v>
      </c>
      <c r="H10">
        <v>215</v>
      </c>
      <c r="I10" t="s">
        <v>11</v>
      </c>
    </row>
    <row r="11" spans="1:18" x14ac:dyDescent="0.25">
      <c r="A11" t="s">
        <v>38</v>
      </c>
      <c r="B11">
        <v>10.596924</v>
      </c>
      <c r="C11">
        <v>2.3069999999999999</v>
      </c>
      <c r="E11">
        <v>76.718055044644302</v>
      </c>
      <c r="F11">
        <v>2060682</v>
      </c>
      <c r="G11">
        <v>4892.91</v>
      </c>
      <c r="H11">
        <v>213</v>
      </c>
      <c r="I11" t="s">
        <v>12</v>
      </c>
    </row>
    <row r="12" spans="1:18" x14ac:dyDescent="0.25">
      <c r="A12" t="s">
        <v>39</v>
      </c>
      <c r="B12">
        <v>10.656945</v>
      </c>
      <c r="C12">
        <v>3.6429999999999998</v>
      </c>
      <c r="E12">
        <v>29.920074908871999</v>
      </c>
      <c r="F12">
        <v>530892</v>
      </c>
      <c r="G12">
        <v>265.11700000000002</v>
      </c>
      <c r="H12">
        <v>224</v>
      </c>
      <c r="I12" t="s">
        <v>11</v>
      </c>
    </row>
    <row r="13" spans="1:18" x14ac:dyDescent="0.25">
      <c r="A13" t="s">
        <v>40</v>
      </c>
      <c r="B13">
        <v>10.831132</v>
      </c>
      <c r="C13">
        <v>2.6560000000000001</v>
      </c>
      <c r="E13">
        <v>65.56198374745</v>
      </c>
      <c r="F13">
        <v>2689562</v>
      </c>
      <c r="G13">
        <v>3585.17</v>
      </c>
      <c r="H13">
        <v>219</v>
      </c>
      <c r="I13" t="s">
        <v>12</v>
      </c>
    </row>
    <row r="14" spans="1:18" x14ac:dyDescent="0.25">
      <c r="A14" t="s">
        <v>41</v>
      </c>
      <c r="B14">
        <v>11.175151</v>
      </c>
      <c r="C14">
        <v>1.6459999999999999</v>
      </c>
      <c r="E14">
        <v>63.662508778383398</v>
      </c>
      <c r="F14">
        <v>1559500</v>
      </c>
      <c r="G14">
        <v>3073.41</v>
      </c>
      <c r="H14">
        <v>217</v>
      </c>
      <c r="I14" t="s">
        <v>12</v>
      </c>
    </row>
    <row r="15" spans="1:18" x14ac:dyDescent="0.25">
      <c r="A15" t="s">
        <v>42</v>
      </c>
      <c r="B15">
        <v>11.180416000000001</v>
      </c>
      <c r="C15">
        <v>3.8180000000000001</v>
      </c>
      <c r="E15">
        <v>46.389994314951601</v>
      </c>
      <c r="F15">
        <v>1318918</v>
      </c>
      <c r="G15">
        <v>2182.73</v>
      </c>
      <c r="H15">
        <v>212</v>
      </c>
      <c r="I15" t="s">
        <v>11</v>
      </c>
    </row>
    <row r="16" spans="1:18" x14ac:dyDescent="0.25">
      <c r="A16" t="s">
        <v>43</v>
      </c>
      <c r="B16">
        <v>11.184367999999999</v>
      </c>
      <c r="C16">
        <v>1.873</v>
      </c>
      <c r="E16">
        <v>43.467210647761</v>
      </c>
      <c r="F16">
        <v>2425566</v>
      </c>
      <c r="G16">
        <v>3360.45</v>
      </c>
      <c r="H16">
        <v>223</v>
      </c>
      <c r="I16" t="s">
        <v>11</v>
      </c>
    </row>
    <row r="17" spans="1:9" x14ac:dyDescent="0.25">
      <c r="A17" t="s">
        <v>44</v>
      </c>
      <c r="B17">
        <v>11.185681000000001</v>
      </c>
      <c r="C17">
        <v>1.093</v>
      </c>
      <c r="E17">
        <v>49.035213858141297</v>
      </c>
      <c r="F17">
        <v>97464</v>
      </c>
      <c r="G17">
        <v>90.879800000000003</v>
      </c>
      <c r="H17">
        <v>217</v>
      </c>
      <c r="I17" t="s">
        <v>11</v>
      </c>
    </row>
    <row r="18" spans="1:9" x14ac:dyDescent="0.25">
      <c r="A18" t="s">
        <v>45</v>
      </c>
      <c r="B18">
        <v>11.186565</v>
      </c>
      <c r="C18">
        <v>2.786</v>
      </c>
      <c r="E18">
        <v>66.167274186536403</v>
      </c>
      <c r="F18">
        <v>1306134</v>
      </c>
      <c r="G18">
        <v>1697.82</v>
      </c>
      <c r="H18">
        <v>218</v>
      </c>
      <c r="I18" t="s">
        <v>12</v>
      </c>
    </row>
    <row r="19" spans="1:9" x14ac:dyDescent="0.25">
      <c r="A19" t="s">
        <v>46</v>
      </c>
      <c r="B19">
        <v>11.187007000000001</v>
      </c>
      <c r="C19">
        <v>1.7609999999999999</v>
      </c>
      <c r="E19">
        <v>19.7170852422833</v>
      </c>
      <c r="F19">
        <v>595452</v>
      </c>
      <c r="G19">
        <v>353.30500000000001</v>
      </c>
      <c r="H19">
        <v>222</v>
      </c>
      <c r="I19" t="s">
        <v>11</v>
      </c>
    </row>
    <row r="20" spans="1:9" x14ac:dyDescent="0.25">
      <c r="A20" t="s">
        <v>47</v>
      </c>
      <c r="B20">
        <v>11.189204</v>
      </c>
      <c r="C20">
        <v>5.0599999999999996</v>
      </c>
      <c r="E20">
        <v>61.0139450891214</v>
      </c>
      <c r="F20">
        <v>2036120</v>
      </c>
      <c r="G20">
        <v>5234.5200000000004</v>
      </c>
      <c r="H20">
        <v>212</v>
      </c>
      <c r="I20" t="s">
        <v>12</v>
      </c>
    </row>
    <row r="21" spans="1:9" x14ac:dyDescent="0.25">
      <c r="A21" t="s">
        <v>48</v>
      </c>
      <c r="B21">
        <v>11.193156</v>
      </c>
      <c r="C21">
        <v>5.1340000000000003</v>
      </c>
      <c r="E21">
        <v>70.387586529779597</v>
      </c>
      <c r="F21">
        <v>1588566</v>
      </c>
      <c r="G21">
        <v>3914.59</v>
      </c>
      <c r="H21">
        <v>211</v>
      </c>
      <c r="I21" t="s">
        <v>12</v>
      </c>
    </row>
    <row r="22" spans="1:9" x14ac:dyDescent="0.25">
      <c r="A22" t="s">
        <v>49</v>
      </c>
      <c r="B22">
        <v>11.195352999999999</v>
      </c>
      <c r="C22">
        <v>1.359</v>
      </c>
      <c r="E22">
        <v>34.474801859345199</v>
      </c>
      <c r="F22">
        <v>1531714</v>
      </c>
      <c r="G22">
        <v>2201.04</v>
      </c>
      <c r="H22">
        <v>224</v>
      </c>
      <c r="I22" t="s">
        <v>11</v>
      </c>
    </row>
    <row r="23" spans="1:9" x14ac:dyDescent="0.25">
      <c r="A23" t="s">
        <v>50</v>
      </c>
      <c r="B23">
        <v>11.199318</v>
      </c>
      <c r="C23">
        <v>2.4769999999999999</v>
      </c>
      <c r="E23">
        <v>56.987593218071702</v>
      </c>
      <c r="F23">
        <v>2371046</v>
      </c>
      <c r="G23">
        <v>2032.57</v>
      </c>
      <c r="H23">
        <v>216</v>
      </c>
      <c r="I23" t="s">
        <v>11</v>
      </c>
    </row>
    <row r="24" spans="1:9" x14ac:dyDescent="0.25">
      <c r="A24" t="s">
        <v>51</v>
      </c>
      <c r="B24">
        <v>11.201514999999999</v>
      </c>
      <c r="C24">
        <v>2.0209999999999999</v>
      </c>
      <c r="E24">
        <v>59.462261311573997</v>
      </c>
      <c r="F24">
        <v>2162120</v>
      </c>
      <c r="G24">
        <v>3378.86</v>
      </c>
      <c r="H24">
        <v>220</v>
      </c>
      <c r="I24" t="s">
        <v>11</v>
      </c>
    </row>
    <row r="25" spans="1:9" x14ac:dyDescent="0.25">
      <c r="A25" t="s">
        <v>52</v>
      </c>
      <c r="B25">
        <v>11.202840999999999</v>
      </c>
      <c r="C25">
        <v>1.1559999999999999</v>
      </c>
      <c r="E25">
        <v>55.5830518677055</v>
      </c>
      <c r="F25">
        <v>1372150</v>
      </c>
      <c r="G25">
        <v>2311.04</v>
      </c>
      <c r="H25">
        <v>217</v>
      </c>
      <c r="I25" t="s">
        <v>11</v>
      </c>
    </row>
    <row r="26" spans="1:9" x14ac:dyDescent="0.25">
      <c r="A26" t="s">
        <v>53</v>
      </c>
      <c r="B26">
        <v>11.209458</v>
      </c>
      <c r="C26">
        <v>1.7450000000000001</v>
      </c>
      <c r="E26">
        <v>51.456375614486802</v>
      </c>
      <c r="F26">
        <v>2048866</v>
      </c>
      <c r="G26">
        <v>1428.65</v>
      </c>
      <c r="H26">
        <v>219</v>
      </c>
      <c r="I26" t="s">
        <v>11</v>
      </c>
    </row>
    <row r="27" spans="1:9" x14ac:dyDescent="0.25">
      <c r="A27" t="s">
        <v>54</v>
      </c>
      <c r="B27">
        <v>11.209458</v>
      </c>
      <c r="C27">
        <v>7.2759999999999998</v>
      </c>
      <c r="E27">
        <v>54.860716316088599</v>
      </c>
      <c r="F27">
        <v>282086</v>
      </c>
      <c r="G27">
        <v>452.95699999999999</v>
      </c>
      <c r="H27">
        <v>211</v>
      </c>
      <c r="I27" t="s">
        <v>11</v>
      </c>
    </row>
    <row r="28" spans="1:9" x14ac:dyDescent="0.25">
      <c r="A28" t="s">
        <v>55</v>
      </c>
      <c r="B28">
        <v>11.212539</v>
      </c>
      <c r="C28">
        <v>2.6320000000000001</v>
      </c>
      <c r="E28">
        <v>70.397618967996493</v>
      </c>
      <c r="F28">
        <v>1338338</v>
      </c>
      <c r="G28">
        <v>3237.03</v>
      </c>
      <c r="H28">
        <v>210</v>
      </c>
      <c r="I28" t="s">
        <v>12</v>
      </c>
    </row>
    <row r="29" spans="1:9" x14ac:dyDescent="0.25">
      <c r="A29" t="s">
        <v>56</v>
      </c>
      <c r="B29">
        <v>11.216517000000001</v>
      </c>
      <c r="C29">
        <v>2.4590000000000001</v>
      </c>
      <c r="E29">
        <v>39.902350934688798</v>
      </c>
      <c r="F29">
        <v>1195096</v>
      </c>
      <c r="G29">
        <v>1139.44</v>
      </c>
      <c r="H29">
        <v>216</v>
      </c>
      <c r="I29" t="s">
        <v>11</v>
      </c>
    </row>
    <row r="30" spans="1:9" x14ac:dyDescent="0.25">
      <c r="A30" t="s">
        <v>57</v>
      </c>
      <c r="B30">
        <v>11.224473</v>
      </c>
      <c r="C30">
        <v>1.1759999999999999</v>
      </c>
      <c r="E30">
        <v>54.807209978931802</v>
      </c>
      <c r="F30">
        <v>1034738</v>
      </c>
      <c r="G30">
        <v>2425.12</v>
      </c>
      <c r="H30">
        <v>210</v>
      </c>
      <c r="I30" t="s">
        <v>11</v>
      </c>
    </row>
    <row r="31" spans="1:9" x14ac:dyDescent="0.25">
      <c r="A31" t="s">
        <v>58</v>
      </c>
      <c r="B31">
        <v>11.231999999999999</v>
      </c>
      <c r="C31">
        <v>3.706</v>
      </c>
      <c r="E31">
        <v>69.498043674547702</v>
      </c>
      <c r="F31">
        <v>998050</v>
      </c>
      <c r="G31">
        <v>2045.65</v>
      </c>
      <c r="H31">
        <v>210</v>
      </c>
      <c r="I31" t="s">
        <v>12</v>
      </c>
    </row>
    <row r="32" spans="1:9" x14ac:dyDescent="0.25">
      <c r="A32" t="s">
        <v>59</v>
      </c>
      <c r="B32">
        <v>11.393265</v>
      </c>
      <c r="C32">
        <v>1.5349999999999999</v>
      </c>
      <c r="E32">
        <v>27.589205096478601</v>
      </c>
      <c r="F32">
        <v>581996</v>
      </c>
      <c r="G32">
        <v>336.60599999999999</v>
      </c>
      <c r="H32">
        <v>222</v>
      </c>
      <c r="I32" t="s">
        <v>11</v>
      </c>
    </row>
    <row r="33" spans="1:9" x14ac:dyDescent="0.25">
      <c r="A33" t="s">
        <v>60</v>
      </c>
      <c r="B33">
        <v>11.796226000000001</v>
      </c>
      <c r="C33">
        <v>1.7689999999999999</v>
      </c>
      <c r="E33">
        <v>63.368223924021002</v>
      </c>
      <c r="F33">
        <v>2732448</v>
      </c>
      <c r="G33">
        <v>4264.96</v>
      </c>
      <c r="H33">
        <v>215</v>
      </c>
      <c r="I33" t="s">
        <v>12</v>
      </c>
    </row>
    <row r="34" spans="1:9" x14ac:dyDescent="0.25">
      <c r="A34" t="s">
        <v>61</v>
      </c>
      <c r="B34">
        <v>11.810590999999999</v>
      </c>
      <c r="C34">
        <v>1.2649999999999999</v>
      </c>
      <c r="E34">
        <v>49.423134802528097</v>
      </c>
      <c r="F34">
        <v>2316622</v>
      </c>
      <c r="G34">
        <v>4387.97</v>
      </c>
      <c r="H34">
        <v>221</v>
      </c>
      <c r="I34" t="s">
        <v>11</v>
      </c>
    </row>
    <row r="35" spans="1:9" x14ac:dyDescent="0.25">
      <c r="A35" t="s">
        <v>62</v>
      </c>
      <c r="B35">
        <v>11.815232</v>
      </c>
      <c r="C35">
        <v>0.02</v>
      </c>
      <c r="E35">
        <v>90.803598301173693</v>
      </c>
      <c r="F35">
        <v>1342232</v>
      </c>
      <c r="G35">
        <v>3619</v>
      </c>
      <c r="H35">
        <v>207</v>
      </c>
      <c r="I35" t="s">
        <v>10</v>
      </c>
    </row>
    <row r="36" spans="1:9" x14ac:dyDescent="0.25">
      <c r="A36" t="s">
        <v>63</v>
      </c>
      <c r="B36">
        <v>11.816623</v>
      </c>
      <c r="C36">
        <v>2.048</v>
      </c>
      <c r="E36">
        <v>69.4512256295355</v>
      </c>
      <c r="F36">
        <v>1090706</v>
      </c>
      <c r="G36">
        <v>2668.94</v>
      </c>
      <c r="H36">
        <v>204</v>
      </c>
      <c r="I36" t="s">
        <v>12</v>
      </c>
    </row>
    <row r="37" spans="1:9" x14ac:dyDescent="0.25">
      <c r="A37" t="s">
        <v>64</v>
      </c>
      <c r="B37">
        <v>11.816623</v>
      </c>
      <c r="C37">
        <v>4.1180000000000003</v>
      </c>
      <c r="E37">
        <v>90.773500986523004</v>
      </c>
      <c r="F37">
        <v>1329216</v>
      </c>
      <c r="G37">
        <v>3248.27</v>
      </c>
      <c r="H37">
        <v>206</v>
      </c>
      <c r="I37" t="s">
        <v>10</v>
      </c>
    </row>
    <row r="38" spans="1:9" x14ac:dyDescent="0.25">
      <c r="A38" t="s">
        <v>65</v>
      </c>
      <c r="B38">
        <v>11.817091</v>
      </c>
      <c r="C38">
        <v>3.2320000000000002</v>
      </c>
      <c r="E38">
        <v>43.3033474902183</v>
      </c>
      <c r="F38">
        <v>1802432</v>
      </c>
      <c r="G38">
        <v>1640.12</v>
      </c>
      <c r="H38">
        <v>213</v>
      </c>
      <c r="I38" t="s">
        <v>11</v>
      </c>
    </row>
    <row r="39" spans="1:9" x14ac:dyDescent="0.25">
      <c r="A39" t="s">
        <v>66</v>
      </c>
      <c r="B39">
        <v>11.820809000000001</v>
      </c>
      <c r="C39">
        <v>1.2809999999999999</v>
      </c>
      <c r="E39">
        <v>55.124903855800397</v>
      </c>
      <c r="F39">
        <v>1070968</v>
      </c>
      <c r="G39">
        <v>1967.81</v>
      </c>
      <c r="H39">
        <v>224</v>
      </c>
      <c r="I39" t="s">
        <v>11</v>
      </c>
    </row>
    <row r="40" spans="1:9" x14ac:dyDescent="0.25">
      <c r="A40" t="s">
        <v>67</v>
      </c>
      <c r="B40">
        <v>11.821277</v>
      </c>
      <c r="C40">
        <v>2.2050000000000001</v>
      </c>
      <c r="E40">
        <v>41.758352004815499</v>
      </c>
      <c r="F40">
        <v>2645254</v>
      </c>
      <c r="G40">
        <v>3097.36</v>
      </c>
      <c r="H40">
        <v>223</v>
      </c>
      <c r="I40" t="s">
        <v>11</v>
      </c>
    </row>
    <row r="41" spans="1:9" x14ac:dyDescent="0.25">
      <c r="A41" t="s">
        <v>68</v>
      </c>
      <c r="B41">
        <v>11.824059</v>
      </c>
      <c r="C41">
        <v>0.89100000000000001</v>
      </c>
      <c r="E41">
        <v>41.935591746647397</v>
      </c>
      <c r="F41">
        <v>104470</v>
      </c>
      <c r="G41">
        <v>140.732</v>
      </c>
      <c r="H41">
        <v>224</v>
      </c>
      <c r="I41" t="s">
        <v>11</v>
      </c>
    </row>
    <row r="42" spans="1:9" x14ac:dyDescent="0.25">
      <c r="A42" t="s">
        <v>69</v>
      </c>
      <c r="B42">
        <v>11.824527</v>
      </c>
      <c r="C42">
        <v>1.8360000000000001</v>
      </c>
      <c r="E42">
        <v>41.219944487175198</v>
      </c>
      <c r="F42">
        <v>1457722</v>
      </c>
      <c r="G42">
        <v>1456.85</v>
      </c>
      <c r="H42">
        <v>215</v>
      </c>
      <c r="I42" t="s">
        <v>11</v>
      </c>
    </row>
    <row r="43" spans="1:9" x14ac:dyDescent="0.25">
      <c r="A43" t="s">
        <v>70</v>
      </c>
      <c r="B43">
        <v>11.849227000000001</v>
      </c>
      <c r="C43">
        <v>1.153</v>
      </c>
      <c r="E43">
        <v>63.157542721466001</v>
      </c>
      <c r="F43">
        <v>2052272</v>
      </c>
      <c r="G43">
        <v>4358.29</v>
      </c>
      <c r="H43">
        <v>221</v>
      </c>
      <c r="I43" t="s">
        <v>12</v>
      </c>
    </row>
    <row r="44" spans="1:9" x14ac:dyDescent="0.25">
      <c r="A44" t="s">
        <v>71</v>
      </c>
      <c r="B44">
        <v>11.870742</v>
      </c>
      <c r="C44">
        <v>2.097</v>
      </c>
      <c r="E44">
        <v>70.645085777346694</v>
      </c>
      <c r="F44">
        <v>1280638</v>
      </c>
      <c r="G44">
        <v>1530.93</v>
      </c>
      <c r="H44">
        <v>217</v>
      </c>
      <c r="I44" t="s">
        <v>12</v>
      </c>
    </row>
    <row r="45" spans="1:9" x14ac:dyDescent="0.25">
      <c r="A45" t="s">
        <v>72</v>
      </c>
      <c r="B45">
        <v>11.874954000000001</v>
      </c>
      <c r="C45">
        <v>1.008</v>
      </c>
      <c r="E45">
        <v>22.7201284152091</v>
      </c>
      <c r="F45">
        <v>891516</v>
      </c>
      <c r="G45">
        <v>1004.6</v>
      </c>
      <c r="H45">
        <v>222</v>
      </c>
      <c r="I45" t="s">
        <v>11</v>
      </c>
    </row>
    <row r="46" spans="1:9" x14ac:dyDescent="0.25">
      <c r="A46" t="s">
        <v>73</v>
      </c>
      <c r="B46">
        <v>11.911171999999999</v>
      </c>
      <c r="C46">
        <v>4.556</v>
      </c>
      <c r="E46">
        <v>48.429923419054902</v>
      </c>
      <c r="F46">
        <v>948390</v>
      </c>
      <c r="G46">
        <v>1398.08</v>
      </c>
      <c r="H46">
        <v>212</v>
      </c>
      <c r="I46" t="s">
        <v>11</v>
      </c>
    </row>
    <row r="47" spans="1:9" x14ac:dyDescent="0.25">
      <c r="A47" t="s">
        <v>74</v>
      </c>
      <c r="B47">
        <v>12.095642</v>
      </c>
      <c r="C47">
        <v>1.085</v>
      </c>
      <c r="E47">
        <v>42.651239006119702</v>
      </c>
      <c r="F47">
        <v>1197232</v>
      </c>
      <c r="G47">
        <v>2118.66</v>
      </c>
      <c r="H47">
        <v>221</v>
      </c>
      <c r="I47" t="s">
        <v>11</v>
      </c>
    </row>
    <row r="48" spans="1:9" x14ac:dyDescent="0.25">
      <c r="A48" t="s">
        <v>75</v>
      </c>
      <c r="B48">
        <v>12.121395</v>
      </c>
      <c r="C48">
        <v>1.8540000000000001</v>
      </c>
      <c r="E48">
        <v>53.673544460422001</v>
      </c>
      <c r="F48">
        <v>1861686</v>
      </c>
      <c r="G48">
        <v>2463.5700000000002</v>
      </c>
      <c r="H48">
        <v>217</v>
      </c>
      <c r="I48" t="s">
        <v>11</v>
      </c>
    </row>
    <row r="49" spans="1:9" x14ac:dyDescent="0.25">
      <c r="A49" t="s">
        <v>76</v>
      </c>
      <c r="B49">
        <v>12.417327</v>
      </c>
      <c r="C49">
        <v>2.6280000000000001</v>
      </c>
      <c r="E49">
        <v>36.855833862823097</v>
      </c>
      <c r="F49">
        <v>529776</v>
      </c>
      <c r="G49">
        <v>391.92700000000002</v>
      </c>
      <c r="H49">
        <v>224</v>
      </c>
      <c r="I49" t="s">
        <v>11</v>
      </c>
    </row>
    <row r="50" spans="1:9" x14ac:dyDescent="0.25">
      <c r="A50" t="s">
        <v>77</v>
      </c>
      <c r="B50">
        <v>12.424633</v>
      </c>
      <c r="C50">
        <v>1.9890000000000001</v>
      </c>
      <c r="E50">
        <v>47.463465204160102</v>
      </c>
      <c r="F50">
        <v>1662032</v>
      </c>
      <c r="G50">
        <v>1548.43</v>
      </c>
      <c r="H50">
        <v>217</v>
      </c>
      <c r="I50" t="s">
        <v>11</v>
      </c>
    </row>
    <row r="51" spans="1:9" x14ac:dyDescent="0.25">
      <c r="A51" t="s">
        <v>78</v>
      </c>
      <c r="B51">
        <v>12.428545999999999</v>
      </c>
      <c r="C51">
        <v>2.6150000000000002</v>
      </c>
      <c r="E51">
        <v>61.742968932882903</v>
      </c>
      <c r="F51">
        <v>3472228</v>
      </c>
      <c r="G51">
        <v>5142.84</v>
      </c>
      <c r="H51">
        <v>216</v>
      </c>
      <c r="I51" t="s">
        <v>12</v>
      </c>
    </row>
    <row r="52" spans="1:9" x14ac:dyDescent="0.25">
      <c r="A52" t="s">
        <v>79</v>
      </c>
      <c r="B52">
        <v>12.433915000000001</v>
      </c>
      <c r="C52">
        <v>1.6970000000000001</v>
      </c>
      <c r="E52">
        <v>31.541985753937698</v>
      </c>
      <c r="F52">
        <v>1276756</v>
      </c>
      <c r="G52">
        <v>934.15499999999997</v>
      </c>
      <c r="H52">
        <v>221</v>
      </c>
      <c r="I52" t="s">
        <v>11</v>
      </c>
    </row>
    <row r="53" spans="1:9" x14ac:dyDescent="0.25">
      <c r="A53" t="s">
        <v>80</v>
      </c>
      <c r="B53">
        <v>12.440258999999999</v>
      </c>
      <c r="C53">
        <v>2.2610000000000001</v>
      </c>
      <c r="E53">
        <v>60.0474868742266</v>
      </c>
      <c r="F53">
        <v>1708396</v>
      </c>
      <c r="G53">
        <v>3766.12</v>
      </c>
      <c r="H53">
        <v>213</v>
      </c>
      <c r="I53" t="s">
        <v>12</v>
      </c>
    </row>
    <row r="54" spans="1:9" x14ac:dyDescent="0.25">
      <c r="A54" t="s">
        <v>81</v>
      </c>
      <c r="B54">
        <v>12.446629</v>
      </c>
      <c r="C54">
        <v>1.109</v>
      </c>
      <c r="E54">
        <v>32.882988328930203</v>
      </c>
      <c r="F54">
        <v>2145270</v>
      </c>
      <c r="G54">
        <v>2162.7199999999998</v>
      </c>
      <c r="H54">
        <v>215</v>
      </c>
      <c r="I54" t="s">
        <v>11</v>
      </c>
    </row>
    <row r="55" spans="1:9" x14ac:dyDescent="0.25">
      <c r="A55" t="s">
        <v>82</v>
      </c>
      <c r="B55">
        <v>12.449567</v>
      </c>
      <c r="C55">
        <v>1.679</v>
      </c>
      <c r="E55">
        <v>50.964786141858603</v>
      </c>
      <c r="F55">
        <v>955388</v>
      </c>
      <c r="G55">
        <v>1520.29</v>
      </c>
      <c r="H55">
        <v>224</v>
      </c>
      <c r="I55" t="s">
        <v>11</v>
      </c>
    </row>
    <row r="56" spans="1:9" x14ac:dyDescent="0.25">
      <c r="A56" t="s">
        <v>83</v>
      </c>
      <c r="B56">
        <v>12.456417999999999</v>
      </c>
      <c r="C56">
        <v>2.6789999999999998</v>
      </c>
      <c r="E56">
        <v>60.806608032638799</v>
      </c>
      <c r="F56">
        <v>1537278</v>
      </c>
      <c r="G56">
        <v>3188.26</v>
      </c>
      <c r="H56">
        <v>213</v>
      </c>
      <c r="I56" t="s">
        <v>12</v>
      </c>
    </row>
    <row r="57" spans="1:9" x14ac:dyDescent="0.25">
      <c r="A57" t="s">
        <v>84</v>
      </c>
      <c r="B57">
        <v>12.537330000000001</v>
      </c>
      <c r="C57">
        <v>1.4319999999999999</v>
      </c>
      <c r="E57">
        <v>76.510717988161701</v>
      </c>
      <c r="F57">
        <v>797516</v>
      </c>
      <c r="G57">
        <v>1176.21</v>
      </c>
      <c r="H57">
        <v>213</v>
      </c>
      <c r="I57" t="s">
        <v>12</v>
      </c>
    </row>
    <row r="58" spans="1:9" x14ac:dyDescent="0.25">
      <c r="A58" t="s">
        <v>85</v>
      </c>
      <c r="B58">
        <v>12.543296999999999</v>
      </c>
      <c r="C58">
        <v>1.2989999999999999</v>
      </c>
      <c r="E58">
        <v>28.993746446844799</v>
      </c>
      <c r="F58">
        <v>772228</v>
      </c>
      <c r="G58">
        <v>860.25400000000002</v>
      </c>
      <c r="H58">
        <v>222</v>
      </c>
      <c r="I58" t="s">
        <v>11</v>
      </c>
    </row>
    <row r="59" spans="1:9" x14ac:dyDescent="0.25">
      <c r="A59" t="s">
        <v>86</v>
      </c>
      <c r="B59">
        <v>13.039988000000001</v>
      </c>
      <c r="C59">
        <v>1.117</v>
      </c>
      <c r="E59">
        <v>37.962746212754503</v>
      </c>
      <c r="F59">
        <v>1188170</v>
      </c>
      <c r="G59">
        <v>1697.1</v>
      </c>
      <c r="H59">
        <v>224</v>
      </c>
      <c r="I59" t="s">
        <v>11</v>
      </c>
    </row>
    <row r="60" spans="1:9" x14ac:dyDescent="0.25">
      <c r="A60" t="s">
        <v>87</v>
      </c>
      <c r="B60">
        <v>13.047657999999998</v>
      </c>
      <c r="C60">
        <v>0.55900000000000005</v>
      </c>
      <c r="E60">
        <v>4.5848242651239</v>
      </c>
      <c r="F60">
        <v>301514</v>
      </c>
      <c r="G60">
        <v>238.214</v>
      </c>
      <c r="H60">
        <v>208</v>
      </c>
      <c r="I60" t="s">
        <v>11</v>
      </c>
    </row>
    <row r="61" spans="1:9" x14ac:dyDescent="0.25">
      <c r="A61" t="s">
        <v>88</v>
      </c>
      <c r="B61">
        <v>13.052793000000001</v>
      </c>
      <c r="C61">
        <v>1.4830000000000001</v>
      </c>
      <c r="E61">
        <v>30.354813898271001</v>
      </c>
      <c r="F61">
        <v>649696</v>
      </c>
      <c r="G61">
        <v>717.61599999999999</v>
      </c>
      <c r="H61">
        <v>222</v>
      </c>
      <c r="I61" t="s">
        <v>11</v>
      </c>
    </row>
    <row r="62" spans="1:9" x14ac:dyDescent="0.25">
      <c r="A62" t="s">
        <v>89</v>
      </c>
      <c r="B62">
        <v>13.053806999999999</v>
      </c>
      <c r="C62">
        <v>2.0190000000000001</v>
      </c>
      <c r="E62">
        <v>55.6867203959468</v>
      </c>
      <c r="F62">
        <v>731322</v>
      </c>
      <c r="G62">
        <v>922.61800000000005</v>
      </c>
      <c r="H62">
        <v>217</v>
      </c>
      <c r="I62" t="s">
        <v>11</v>
      </c>
    </row>
    <row r="63" spans="1:9" x14ac:dyDescent="0.25">
      <c r="A63" t="s">
        <v>90</v>
      </c>
      <c r="B63">
        <v>13.054834000000001</v>
      </c>
      <c r="C63">
        <v>1.863</v>
      </c>
      <c r="E63">
        <v>62.137578169414397</v>
      </c>
      <c r="F63">
        <v>2308010</v>
      </c>
      <c r="G63">
        <v>4067.47</v>
      </c>
      <c r="H63">
        <v>221</v>
      </c>
      <c r="I63" t="s">
        <v>12</v>
      </c>
    </row>
    <row r="64" spans="1:9" x14ac:dyDescent="0.25">
      <c r="A64" t="s">
        <v>91</v>
      </c>
      <c r="B64">
        <v>13.059448999999999</v>
      </c>
      <c r="C64">
        <v>3.0419999999999998</v>
      </c>
      <c r="E64">
        <v>76.420426044209606</v>
      </c>
      <c r="F64">
        <v>1596172</v>
      </c>
      <c r="G64">
        <v>2274.9699999999998</v>
      </c>
      <c r="H64">
        <v>215</v>
      </c>
      <c r="I64" t="s">
        <v>12</v>
      </c>
    </row>
    <row r="65" spans="1:9" x14ac:dyDescent="0.25">
      <c r="A65" t="s">
        <v>92</v>
      </c>
      <c r="B65">
        <v>13.069731999999998</v>
      </c>
      <c r="C65">
        <v>3.56</v>
      </c>
      <c r="E65">
        <v>86.981239340534401</v>
      </c>
      <c r="F65">
        <v>1143990</v>
      </c>
      <c r="G65">
        <v>3221.72</v>
      </c>
      <c r="H65">
        <v>208</v>
      </c>
      <c r="I65" t="s">
        <v>12</v>
      </c>
    </row>
    <row r="66" spans="1:9" x14ac:dyDescent="0.25">
      <c r="A66" t="s">
        <v>93</v>
      </c>
      <c r="B66">
        <v>13.071266</v>
      </c>
      <c r="C66">
        <v>2.5419999999999998</v>
      </c>
      <c r="E66">
        <v>37.2537872454268</v>
      </c>
      <c r="F66">
        <v>884714</v>
      </c>
      <c r="G66">
        <v>1608.32</v>
      </c>
      <c r="H66">
        <v>202</v>
      </c>
      <c r="I66" t="s">
        <v>11</v>
      </c>
    </row>
    <row r="67" spans="1:9" x14ac:dyDescent="0.25">
      <c r="A67" t="s">
        <v>94</v>
      </c>
      <c r="B67">
        <v>13.126503</v>
      </c>
      <c r="C67">
        <v>1.3340000000000001</v>
      </c>
      <c r="E67">
        <v>42.025883690599599</v>
      </c>
      <c r="F67">
        <v>1245972</v>
      </c>
      <c r="G67">
        <v>1906.02</v>
      </c>
      <c r="H67">
        <v>224</v>
      </c>
      <c r="I67" t="s">
        <v>11</v>
      </c>
    </row>
    <row r="68" spans="1:9" x14ac:dyDescent="0.25">
      <c r="A68" t="s">
        <v>95</v>
      </c>
      <c r="B68">
        <v>13.128063000000001</v>
      </c>
      <c r="C68">
        <v>2.8290000000000002</v>
      </c>
      <c r="E68">
        <v>64.899842825134598</v>
      </c>
      <c r="F68">
        <v>1680462</v>
      </c>
      <c r="G68">
        <v>1356.4</v>
      </c>
      <c r="H68">
        <v>220</v>
      </c>
      <c r="I68" t="s">
        <v>12</v>
      </c>
    </row>
    <row r="69" spans="1:9" x14ac:dyDescent="0.25">
      <c r="A69" t="s">
        <v>96</v>
      </c>
      <c r="B69">
        <v>13.13273</v>
      </c>
      <c r="C69">
        <v>1.1040000000000001</v>
      </c>
      <c r="E69">
        <v>30.809617764103901</v>
      </c>
      <c r="F69">
        <v>1747018</v>
      </c>
      <c r="G69">
        <v>2031.38</v>
      </c>
      <c r="H69">
        <v>224</v>
      </c>
      <c r="I69" t="s">
        <v>11</v>
      </c>
    </row>
    <row r="70" spans="1:9" x14ac:dyDescent="0.25">
      <c r="A70" t="s">
        <v>97</v>
      </c>
      <c r="B70">
        <v>13.54275</v>
      </c>
      <c r="C70">
        <v>3.294</v>
      </c>
      <c r="E70">
        <v>86.921044711232895</v>
      </c>
      <c r="F70">
        <v>2567484</v>
      </c>
      <c r="G70">
        <v>7440.9</v>
      </c>
      <c r="H70">
        <v>209</v>
      </c>
      <c r="I70" t="s">
        <v>12</v>
      </c>
    </row>
    <row r="71" spans="1:9" x14ac:dyDescent="0.25">
      <c r="A71" t="s">
        <v>98</v>
      </c>
      <c r="B71">
        <v>13.662272000000002</v>
      </c>
      <c r="C71">
        <v>3.6549999999999998</v>
      </c>
      <c r="E71">
        <v>53.191987426010698</v>
      </c>
      <c r="F71">
        <v>2493948</v>
      </c>
      <c r="G71">
        <v>5347.98</v>
      </c>
      <c r="H71">
        <v>212</v>
      </c>
      <c r="I71" t="s">
        <v>11</v>
      </c>
    </row>
    <row r="72" spans="1:9" x14ac:dyDescent="0.25">
      <c r="A72" t="s">
        <v>99</v>
      </c>
      <c r="B72">
        <v>13.663883999999999</v>
      </c>
      <c r="C72">
        <v>1.504</v>
      </c>
      <c r="E72">
        <v>51.228973681570402</v>
      </c>
      <c r="F72">
        <v>2420258</v>
      </c>
      <c r="G72">
        <v>4055.54</v>
      </c>
      <c r="H72">
        <v>215</v>
      </c>
      <c r="I72" t="s">
        <v>11</v>
      </c>
    </row>
    <row r="73" spans="1:9" x14ac:dyDescent="0.25">
      <c r="A73" t="s">
        <v>100</v>
      </c>
      <c r="B73">
        <v>13.664963</v>
      </c>
      <c r="C73">
        <v>1.9390000000000001</v>
      </c>
      <c r="E73">
        <v>66.398020265525204</v>
      </c>
      <c r="F73">
        <v>1719858</v>
      </c>
      <c r="G73">
        <v>3559.72</v>
      </c>
      <c r="H73">
        <v>213</v>
      </c>
      <c r="I73" t="s">
        <v>12</v>
      </c>
    </row>
    <row r="74" spans="1:9" x14ac:dyDescent="0.25">
      <c r="A74" t="s">
        <v>101</v>
      </c>
      <c r="B74">
        <v>13.670864999999999</v>
      </c>
      <c r="C74">
        <v>1.466</v>
      </c>
      <c r="E74">
        <v>33.418051700498197</v>
      </c>
      <c r="F74">
        <v>1187970</v>
      </c>
      <c r="G74">
        <v>1540.39</v>
      </c>
      <c r="H74">
        <v>221</v>
      </c>
      <c r="I74" t="s">
        <v>11</v>
      </c>
    </row>
    <row r="75" spans="1:9" x14ac:dyDescent="0.25">
      <c r="A75" t="s">
        <v>102</v>
      </c>
      <c r="B75">
        <v>13.676233999999999</v>
      </c>
      <c r="C75">
        <v>2.4820000000000002</v>
      </c>
      <c r="E75">
        <v>35.163695950239102</v>
      </c>
      <c r="F75">
        <v>1044504</v>
      </c>
      <c r="G75">
        <v>732.08600000000001</v>
      </c>
      <c r="H75">
        <v>217</v>
      </c>
      <c r="I75" t="s">
        <v>11</v>
      </c>
    </row>
    <row r="76" spans="1:9" x14ac:dyDescent="0.25">
      <c r="A76" t="s">
        <v>103</v>
      </c>
      <c r="B76">
        <v>13.681602999999999</v>
      </c>
      <c r="C76">
        <v>2.4409999999999998</v>
      </c>
      <c r="E76">
        <v>63.321405879008701</v>
      </c>
      <c r="F76">
        <v>1864272</v>
      </c>
      <c r="G76">
        <v>1977.31</v>
      </c>
      <c r="H76">
        <v>216</v>
      </c>
      <c r="I76" t="s">
        <v>12</v>
      </c>
    </row>
    <row r="77" spans="1:9" x14ac:dyDescent="0.25">
      <c r="A77" t="s">
        <v>104</v>
      </c>
      <c r="B77">
        <v>13.683748000000001</v>
      </c>
      <c r="C77">
        <v>2.1190000000000002</v>
      </c>
      <c r="E77">
        <v>61.813196000401298</v>
      </c>
      <c r="F77">
        <v>2698418</v>
      </c>
      <c r="G77">
        <v>1206.71</v>
      </c>
      <c r="H77">
        <v>215</v>
      </c>
      <c r="I77" t="s">
        <v>12</v>
      </c>
    </row>
    <row r="78" spans="1:9" x14ac:dyDescent="0.25">
      <c r="A78" t="s">
        <v>105</v>
      </c>
      <c r="B78">
        <v>13.683748000000001</v>
      </c>
      <c r="C78">
        <v>2.2029999999999998</v>
      </c>
      <c r="E78">
        <v>51.145370029762901</v>
      </c>
      <c r="F78">
        <v>1210244</v>
      </c>
      <c r="G78">
        <v>1382.62</v>
      </c>
      <c r="H78">
        <v>217</v>
      </c>
      <c r="I78" t="s">
        <v>11</v>
      </c>
    </row>
    <row r="79" spans="1:9" x14ac:dyDescent="0.25">
      <c r="A79" t="s">
        <v>106</v>
      </c>
      <c r="B79">
        <v>13.68913</v>
      </c>
      <c r="C79">
        <v>2.2269999999999999</v>
      </c>
      <c r="E79">
        <v>84.680466842791603</v>
      </c>
      <c r="F79">
        <v>2104476</v>
      </c>
      <c r="G79">
        <v>5586.55</v>
      </c>
      <c r="H79">
        <v>210</v>
      </c>
      <c r="I79" t="s">
        <v>12</v>
      </c>
    </row>
    <row r="80" spans="1:9" x14ac:dyDescent="0.25">
      <c r="A80" t="s">
        <v>107</v>
      </c>
      <c r="B80">
        <v>13.690209000000001</v>
      </c>
      <c r="C80">
        <v>1.915</v>
      </c>
      <c r="E80">
        <v>51.670400963113998</v>
      </c>
      <c r="F80">
        <v>1623058</v>
      </c>
      <c r="G80">
        <v>3039.32</v>
      </c>
      <c r="H80">
        <v>224</v>
      </c>
      <c r="I80" t="s">
        <v>11</v>
      </c>
    </row>
    <row r="81" spans="1:9" x14ac:dyDescent="0.25">
      <c r="A81" t="s">
        <v>108</v>
      </c>
      <c r="B81">
        <v>13.691821000000001</v>
      </c>
      <c r="C81">
        <v>2.56</v>
      </c>
      <c r="E81">
        <v>80.319700364511903</v>
      </c>
      <c r="F81">
        <v>1411520</v>
      </c>
      <c r="G81">
        <v>3504.84</v>
      </c>
      <c r="H81">
        <v>213</v>
      </c>
      <c r="I81" t="s">
        <v>12</v>
      </c>
    </row>
    <row r="82" spans="1:9" x14ac:dyDescent="0.25">
      <c r="A82" t="s">
        <v>109</v>
      </c>
      <c r="B82">
        <v>13.750763000000001</v>
      </c>
      <c r="C82">
        <v>2.5750000000000002</v>
      </c>
      <c r="E82">
        <v>65.575360331739205</v>
      </c>
      <c r="F82">
        <v>1132496</v>
      </c>
      <c r="G82">
        <v>2044.02</v>
      </c>
      <c r="H82">
        <v>214</v>
      </c>
      <c r="I82" t="s">
        <v>12</v>
      </c>
    </row>
    <row r="83" spans="1:9" x14ac:dyDescent="0.25">
      <c r="A83" t="s">
        <v>110</v>
      </c>
      <c r="B83">
        <v>13.884</v>
      </c>
      <c r="C83">
        <v>4.7590000000000003</v>
      </c>
      <c r="E83">
        <v>80.928334949670599</v>
      </c>
      <c r="F83">
        <v>881314</v>
      </c>
      <c r="G83">
        <v>1981.62</v>
      </c>
      <c r="H83">
        <v>201</v>
      </c>
      <c r="I83" t="s">
        <v>12</v>
      </c>
    </row>
    <row r="84" spans="1:9" x14ac:dyDescent="0.25">
      <c r="A84" t="s">
        <v>111</v>
      </c>
      <c r="B84">
        <v>14.072863999999999</v>
      </c>
      <c r="C84">
        <v>1.1950000000000001</v>
      </c>
      <c r="E84">
        <v>36.203725378724499</v>
      </c>
      <c r="F84">
        <v>1117152</v>
      </c>
      <c r="G84">
        <v>985.29499999999996</v>
      </c>
      <c r="H84">
        <v>221</v>
      </c>
      <c r="I84" t="s">
        <v>11</v>
      </c>
    </row>
    <row r="85" spans="1:9" x14ac:dyDescent="0.25">
      <c r="A85" t="s">
        <v>112</v>
      </c>
      <c r="B85">
        <v>14.086215000000001</v>
      </c>
      <c r="C85">
        <v>1.6</v>
      </c>
      <c r="E85">
        <v>40.862120857439002</v>
      </c>
      <c r="F85">
        <v>209322</v>
      </c>
      <c r="G85">
        <v>181.07400000000001</v>
      </c>
      <c r="H85">
        <v>209</v>
      </c>
      <c r="I85" t="s">
        <v>11</v>
      </c>
    </row>
    <row r="86" spans="1:9" x14ac:dyDescent="0.25">
      <c r="A86" t="s">
        <v>113</v>
      </c>
      <c r="B86">
        <v>14.141335000000002</v>
      </c>
      <c r="C86">
        <v>2.1789999999999998</v>
      </c>
      <c r="E86">
        <v>57.469150252482997</v>
      </c>
      <c r="F86">
        <v>1347920</v>
      </c>
      <c r="G86">
        <v>1899.27</v>
      </c>
      <c r="H86">
        <v>217</v>
      </c>
      <c r="I86" t="s">
        <v>11</v>
      </c>
    </row>
    <row r="87" spans="1:9" x14ac:dyDescent="0.25">
      <c r="A87" t="s">
        <v>114</v>
      </c>
      <c r="B87">
        <v>14.280773000000002</v>
      </c>
      <c r="C87">
        <v>1.6919999999999999</v>
      </c>
      <c r="E87">
        <v>32.367989833795903</v>
      </c>
      <c r="F87">
        <v>1082042</v>
      </c>
      <c r="G87">
        <v>1053.75</v>
      </c>
      <c r="H87">
        <v>222</v>
      </c>
      <c r="I87" t="s">
        <v>11</v>
      </c>
    </row>
    <row r="88" spans="1:9" x14ac:dyDescent="0.25">
      <c r="A88" t="s">
        <v>115</v>
      </c>
      <c r="B88">
        <v>14.283009</v>
      </c>
      <c r="C88">
        <v>3.2189999999999999</v>
      </c>
      <c r="E88">
        <v>93.612681001906097</v>
      </c>
      <c r="F88">
        <v>1278002</v>
      </c>
      <c r="G88">
        <v>3754.1</v>
      </c>
      <c r="H88">
        <v>208</v>
      </c>
      <c r="I88" t="s">
        <v>10</v>
      </c>
    </row>
    <row r="89" spans="1:9" x14ac:dyDescent="0.25">
      <c r="A89" t="s">
        <v>116</v>
      </c>
      <c r="B89">
        <v>14.297594999999999</v>
      </c>
      <c r="C89">
        <v>1.698</v>
      </c>
      <c r="E89">
        <v>47.720964451727198</v>
      </c>
      <c r="F89">
        <v>1634018</v>
      </c>
      <c r="G89">
        <v>1661.78</v>
      </c>
      <c r="H89">
        <v>215</v>
      </c>
      <c r="I89" t="s">
        <v>11</v>
      </c>
    </row>
    <row r="90" spans="1:9" x14ac:dyDescent="0.25">
      <c r="A90" t="s">
        <v>117</v>
      </c>
      <c r="B90">
        <v>14.299284999999999</v>
      </c>
      <c r="C90">
        <v>2.677</v>
      </c>
      <c r="E90">
        <v>79.6341504196903</v>
      </c>
      <c r="F90">
        <v>1293242</v>
      </c>
      <c r="G90">
        <v>2680.42</v>
      </c>
      <c r="H90">
        <v>214</v>
      </c>
      <c r="I90" t="s">
        <v>12</v>
      </c>
    </row>
    <row r="91" spans="1:9" x14ac:dyDescent="0.25">
      <c r="A91" t="s">
        <v>118</v>
      </c>
      <c r="B91">
        <v>14.304900999999999</v>
      </c>
      <c r="C91">
        <v>3.052</v>
      </c>
      <c r="E91">
        <v>44.052436210413603</v>
      </c>
      <c r="F91">
        <v>706724</v>
      </c>
      <c r="G91">
        <v>672.04100000000005</v>
      </c>
      <c r="H91">
        <v>214</v>
      </c>
      <c r="I91" t="s">
        <v>11</v>
      </c>
    </row>
    <row r="92" spans="1:9" x14ac:dyDescent="0.25">
      <c r="A92" t="s">
        <v>119</v>
      </c>
      <c r="B92">
        <v>14.30546</v>
      </c>
      <c r="C92">
        <v>2.6680000000000001</v>
      </c>
      <c r="E92">
        <v>60.689562920108301</v>
      </c>
      <c r="F92">
        <v>804796</v>
      </c>
      <c r="G92">
        <v>1771.91</v>
      </c>
      <c r="H92">
        <v>204</v>
      </c>
      <c r="I92" t="s">
        <v>12</v>
      </c>
    </row>
    <row r="93" spans="1:9" x14ac:dyDescent="0.25">
      <c r="A93" t="s">
        <v>120</v>
      </c>
      <c r="B93">
        <v>14.313338000000002</v>
      </c>
      <c r="C93">
        <v>1.3220000000000001</v>
      </c>
      <c r="E93">
        <v>24.124669765575302</v>
      </c>
      <c r="F93">
        <v>921136</v>
      </c>
      <c r="G93">
        <v>838.06100000000004</v>
      </c>
      <c r="H93">
        <v>224</v>
      </c>
      <c r="I93" t="s">
        <v>11</v>
      </c>
    </row>
    <row r="94" spans="1:9" x14ac:dyDescent="0.25">
      <c r="A94" t="s">
        <v>121</v>
      </c>
      <c r="B94">
        <v>14.317836</v>
      </c>
      <c r="C94">
        <v>1.7110000000000001</v>
      </c>
      <c r="E94">
        <v>65.237601578436895</v>
      </c>
      <c r="F94">
        <v>1316118</v>
      </c>
      <c r="G94">
        <v>2265.48</v>
      </c>
      <c r="H94">
        <v>224</v>
      </c>
      <c r="I94" t="s">
        <v>12</v>
      </c>
    </row>
    <row r="95" spans="1:9" x14ac:dyDescent="0.25">
      <c r="A95" t="s">
        <v>122</v>
      </c>
      <c r="B95">
        <v>14.321788000000002</v>
      </c>
      <c r="C95">
        <v>3.133</v>
      </c>
      <c r="E95">
        <v>76.142861920208603</v>
      </c>
      <c r="F95">
        <v>1977848</v>
      </c>
      <c r="G95">
        <v>3019.34</v>
      </c>
      <c r="H95">
        <v>219</v>
      </c>
      <c r="I95" t="s">
        <v>12</v>
      </c>
    </row>
    <row r="96" spans="1:9" x14ac:dyDescent="0.25">
      <c r="A96" t="s">
        <v>123</v>
      </c>
      <c r="B96">
        <v>14.322346999999999</v>
      </c>
      <c r="C96">
        <v>2.6360000000000001</v>
      </c>
      <c r="E96">
        <v>50.583553489616399</v>
      </c>
      <c r="F96">
        <v>1066540</v>
      </c>
      <c r="G96">
        <v>2048.63</v>
      </c>
      <c r="H96">
        <v>202</v>
      </c>
      <c r="I96" t="s">
        <v>11</v>
      </c>
    </row>
    <row r="97" spans="1:9" x14ac:dyDescent="0.25">
      <c r="A97" t="s">
        <v>124</v>
      </c>
      <c r="B97">
        <v>14.326858</v>
      </c>
      <c r="C97">
        <v>2.1819999999999999</v>
      </c>
      <c r="E97">
        <v>39.6615724174831</v>
      </c>
      <c r="F97">
        <v>779040</v>
      </c>
      <c r="G97">
        <v>916.18200000000002</v>
      </c>
      <c r="H97">
        <v>221</v>
      </c>
      <c r="I97" t="s">
        <v>11</v>
      </c>
    </row>
    <row r="98" spans="1:9" x14ac:dyDescent="0.25">
      <c r="A98" t="s">
        <v>125</v>
      </c>
      <c r="B98">
        <v>14.339</v>
      </c>
      <c r="C98">
        <v>4.2619999999999996</v>
      </c>
      <c r="E98">
        <v>75.858609504063097</v>
      </c>
      <c r="F98">
        <v>1285752</v>
      </c>
      <c r="G98">
        <v>2261.16</v>
      </c>
      <c r="H98">
        <v>201</v>
      </c>
      <c r="I98" t="s">
        <v>12</v>
      </c>
    </row>
    <row r="99" spans="1:9" x14ac:dyDescent="0.25">
      <c r="A99" t="s">
        <v>126</v>
      </c>
      <c r="B99">
        <v>14.383473000000002</v>
      </c>
      <c r="C99">
        <v>4.3769999999999998</v>
      </c>
      <c r="E99">
        <v>63.140821991104502</v>
      </c>
      <c r="F99">
        <v>1084980</v>
      </c>
      <c r="G99">
        <v>2423.39</v>
      </c>
      <c r="H99">
        <v>211</v>
      </c>
      <c r="I99" t="s">
        <v>12</v>
      </c>
    </row>
    <row r="100" spans="1:9" x14ac:dyDescent="0.25">
      <c r="A100" t="s">
        <v>127</v>
      </c>
      <c r="B100">
        <v>14.409655000000001</v>
      </c>
      <c r="C100">
        <v>1.9970000000000001</v>
      </c>
      <c r="E100">
        <v>72.129886633448095</v>
      </c>
      <c r="F100">
        <v>1355048</v>
      </c>
      <c r="G100">
        <v>3501.23</v>
      </c>
      <c r="H100">
        <v>210</v>
      </c>
      <c r="I100" t="s">
        <v>12</v>
      </c>
    </row>
    <row r="101" spans="1:9" x14ac:dyDescent="0.25">
      <c r="A101" t="s">
        <v>128</v>
      </c>
      <c r="B101">
        <v>14.415934</v>
      </c>
      <c r="C101">
        <v>3.2410000000000001</v>
      </c>
      <c r="E101">
        <v>62.338226933752402</v>
      </c>
      <c r="F101">
        <v>3286892</v>
      </c>
      <c r="G101">
        <v>2514.81</v>
      </c>
      <c r="H101">
        <v>216</v>
      </c>
      <c r="I101" t="s">
        <v>12</v>
      </c>
    </row>
    <row r="102" spans="1:9" x14ac:dyDescent="0.25">
      <c r="A102" t="s">
        <v>129</v>
      </c>
      <c r="B102">
        <v>14.480739000000002</v>
      </c>
      <c r="C102">
        <v>0.81599999999999995</v>
      </c>
      <c r="E102">
        <v>81.827910243119405</v>
      </c>
      <c r="F102">
        <v>888742</v>
      </c>
      <c r="G102">
        <v>2563.59</v>
      </c>
      <c r="H102">
        <v>209</v>
      </c>
      <c r="I102" t="s">
        <v>12</v>
      </c>
    </row>
    <row r="103" spans="1:9" x14ac:dyDescent="0.25">
      <c r="A103" t="s">
        <v>130</v>
      </c>
      <c r="B103">
        <v>14.543230000000001</v>
      </c>
      <c r="C103">
        <v>2.234</v>
      </c>
      <c r="E103">
        <v>41.320268869344197</v>
      </c>
      <c r="F103">
        <v>1370490</v>
      </c>
      <c r="G103">
        <v>811.57299999999998</v>
      </c>
      <c r="H103">
        <v>217</v>
      </c>
      <c r="I103" t="s">
        <v>11</v>
      </c>
    </row>
    <row r="104" spans="1:9" x14ac:dyDescent="0.25">
      <c r="A104" t="s">
        <v>131</v>
      </c>
      <c r="B104">
        <v>14.916589999999999</v>
      </c>
      <c r="C104">
        <v>4.8940000000000001</v>
      </c>
      <c r="E104">
        <v>80.058856970872398</v>
      </c>
      <c r="F104">
        <v>1728614</v>
      </c>
      <c r="G104">
        <v>4510.3100000000004</v>
      </c>
      <c r="H104">
        <v>212</v>
      </c>
      <c r="I104" t="s">
        <v>12</v>
      </c>
    </row>
    <row r="105" spans="1:9" x14ac:dyDescent="0.25">
      <c r="A105" t="s">
        <v>132</v>
      </c>
      <c r="B105">
        <v>14.917760000000001</v>
      </c>
      <c r="C105">
        <v>9.5449999999999999</v>
      </c>
      <c r="E105">
        <v>89.231849647192504</v>
      </c>
      <c r="F105">
        <v>1355738</v>
      </c>
      <c r="G105">
        <v>3180.63</v>
      </c>
      <c r="H105">
        <v>211</v>
      </c>
      <c r="I105" t="s">
        <v>12</v>
      </c>
    </row>
    <row r="106" spans="1:9" x14ac:dyDescent="0.25">
      <c r="A106" t="s">
        <v>133</v>
      </c>
      <c r="B106">
        <v>14.918344999999999</v>
      </c>
      <c r="C106">
        <v>1.28</v>
      </c>
      <c r="E106">
        <v>27.264822927465399</v>
      </c>
      <c r="F106">
        <v>1454648</v>
      </c>
      <c r="G106">
        <v>1829.99</v>
      </c>
      <c r="H106">
        <v>224</v>
      </c>
      <c r="I106" t="s">
        <v>11</v>
      </c>
    </row>
    <row r="107" spans="1:9" x14ac:dyDescent="0.25">
      <c r="A107" t="s">
        <v>134</v>
      </c>
      <c r="B107">
        <v>14.925976</v>
      </c>
      <c r="C107">
        <v>1.3280000000000001</v>
      </c>
      <c r="E107">
        <v>45.804768752299097</v>
      </c>
      <c r="F107">
        <v>1031272</v>
      </c>
      <c r="G107">
        <v>1863.77</v>
      </c>
      <c r="H107">
        <v>222</v>
      </c>
      <c r="I107" t="s">
        <v>11</v>
      </c>
    </row>
    <row r="108" spans="1:9" x14ac:dyDescent="0.25">
      <c r="A108" t="s">
        <v>135</v>
      </c>
      <c r="B108">
        <v>14.929486000000001</v>
      </c>
      <c r="C108">
        <v>1.667</v>
      </c>
      <c r="E108">
        <v>49.322810420359097</v>
      </c>
      <c r="F108">
        <v>864786</v>
      </c>
      <c r="G108">
        <v>1078.75</v>
      </c>
      <c r="H108">
        <v>222</v>
      </c>
      <c r="I108" t="s">
        <v>11</v>
      </c>
    </row>
    <row r="109" spans="1:9" x14ac:dyDescent="0.25">
      <c r="A109" t="s">
        <v>136</v>
      </c>
      <c r="B109">
        <v>14.933009</v>
      </c>
      <c r="C109">
        <v>2.46</v>
      </c>
      <c r="E109">
        <v>53.683576898638897</v>
      </c>
      <c r="F109">
        <v>2339620</v>
      </c>
      <c r="G109">
        <v>2379.0300000000002</v>
      </c>
      <c r="H109">
        <v>216</v>
      </c>
      <c r="I109" t="s">
        <v>11</v>
      </c>
    </row>
    <row r="110" spans="1:9" x14ac:dyDescent="0.25">
      <c r="A110" t="s">
        <v>137</v>
      </c>
      <c r="B110">
        <v>14.933606999999999</v>
      </c>
      <c r="C110">
        <v>1.286</v>
      </c>
      <c r="E110">
        <v>26.211416914690801</v>
      </c>
      <c r="F110">
        <v>917394</v>
      </c>
      <c r="G110">
        <v>918.08600000000001</v>
      </c>
      <c r="H110">
        <v>224</v>
      </c>
      <c r="I110" t="s">
        <v>11</v>
      </c>
    </row>
    <row r="111" spans="1:9" x14ac:dyDescent="0.25">
      <c r="A111" t="s">
        <v>138</v>
      </c>
      <c r="B111">
        <v>14.948297</v>
      </c>
      <c r="C111">
        <v>2.4529999999999998</v>
      </c>
      <c r="E111">
        <v>85.402802394408496</v>
      </c>
      <c r="F111">
        <v>1936894</v>
      </c>
      <c r="G111">
        <v>3218.19</v>
      </c>
      <c r="H111">
        <v>218</v>
      </c>
      <c r="I111" t="s">
        <v>12</v>
      </c>
    </row>
    <row r="112" spans="1:9" x14ac:dyDescent="0.25">
      <c r="A112" t="s">
        <v>139</v>
      </c>
      <c r="B112">
        <v>14.963598000000001</v>
      </c>
      <c r="C112">
        <v>4.5369999999999999</v>
      </c>
      <c r="E112">
        <v>43.0960104337357</v>
      </c>
      <c r="F112">
        <v>768608</v>
      </c>
      <c r="G112">
        <v>728.57100000000003</v>
      </c>
      <c r="H112">
        <v>204</v>
      </c>
      <c r="I112" t="s">
        <v>11</v>
      </c>
    </row>
  </sheetData>
  <conditionalFormatting sqref="A1:A1048576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500E-93E4-48FF-96E5-B70595ABF5D5}">
  <dimension ref="A1:R70"/>
  <sheetViews>
    <sheetView workbookViewId="0">
      <selection activeCell="L9" sqref="L9"/>
    </sheetView>
  </sheetViews>
  <sheetFormatPr defaultRowHeight="15" x14ac:dyDescent="0.25"/>
  <cols>
    <col min="1" max="1" width="11.140625" bestFit="1" customWidth="1"/>
    <col min="2" max="2" width="12.140625" bestFit="1" customWidth="1"/>
    <col min="3" max="3" width="19.7109375" bestFit="1" customWidth="1"/>
    <col min="4" max="4" width="11.7109375" bestFit="1" customWidth="1"/>
    <col min="5" max="5" width="14" bestFit="1" customWidth="1"/>
    <col min="6" max="6" width="11.140625" bestFit="1" customWidth="1"/>
    <col min="7" max="7" width="9.28515625" bestFit="1" customWidth="1"/>
    <col min="8" max="8" width="7.28515625" bestFit="1" customWidth="1"/>
    <col min="9" max="9" width="4.85546875" bestFit="1" customWidth="1"/>
    <col min="12" max="12" width="3.28515625" bestFit="1" customWidth="1"/>
    <col min="13" max="13" width="3.140625" bestFit="1" customWidth="1"/>
    <col min="14" max="14" width="5.28515625" bestFit="1" customWidth="1"/>
    <col min="15" max="15" width="3.140625" bestFit="1" customWidth="1"/>
    <col min="16" max="16" width="8.42578125" bestFit="1" customWidth="1"/>
    <col min="17" max="17" width="10.5703125" bestFit="1" customWidth="1"/>
    <col min="18" max="18" width="12.5703125" bestFit="1" customWidth="1"/>
  </cols>
  <sheetData>
    <row r="1" spans="1:18" x14ac:dyDescent="0.25">
      <c r="A1" s="8" t="s">
        <v>1</v>
      </c>
      <c r="B1" s="9" t="s">
        <v>2</v>
      </c>
      <c r="C1" s="9" t="s">
        <v>3</v>
      </c>
      <c r="D1" s="10" t="s">
        <v>4</v>
      </c>
      <c r="E1" s="10" t="s">
        <v>5</v>
      </c>
      <c r="F1" s="9" t="s">
        <v>6</v>
      </c>
      <c r="G1" s="9" t="s">
        <v>7</v>
      </c>
      <c r="H1" s="4" t="s">
        <v>8</v>
      </c>
      <c r="I1" s="4" t="s">
        <v>19</v>
      </c>
      <c r="L1" s="5" t="s">
        <v>13</v>
      </c>
      <c r="M1" s="6" t="s">
        <v>14</v>
      </c>
      <c r="N1" s="6" t="s">
        <v>15</v>
      </c>
      <c r="O1" s="6" t="s">
        <v>16</v>
      </c>
      <c r="P1" s="6" t="s">
        <v>9</v>
      </c>
      <c r="Q1" s="6" t="s">
        <v>17</v>
      </c>
      <c r="R1" s="7" t="s">
        <v>18</v>
      </c>
    </row>
    <row r="2" spans="1:18" x14ac:dyDescent="0.25">
      <c r="A2" t="s">
        <v>140</v>
      </c>
      <c r="B2">
        <v>15.190799</v>
      </c>
      <c r="C2">
        <v>4.556</v>
      </c>
      <c r="E2">
        <v>45.660970471190097</v>
      </c>
      <c r="F2">
        <v>1060474</v>
      </c>
      <c r="G2">
        <v>2103.7399999999998</v>
      </c>
      <c r="H2">
        <v>202</v>
      </c>
      <c r="I2" t="s">
        <v>11</v>
      </c>
      <c r="L2">
        <f>COUNTIF(I:I,"A")</f>
        <v>2</v>
      </c>
      <c r="M2">
        <f>COUNTIF(I:I,"B")</f>
        <v>42</v>
      </c>
      <c r="N2">
        <f>SUM(L2:M2)</f>
        <v>44</v>
      </c>
      <c r="O2">
        <f>COUNTIF(I:I,"C")</f>
        <v>25</v>
      </c>
      <c r="P2">
        <f>(O2/(L2+M2+O2))*100</f>
        <v>36.231884057971016</v>
      </c>
      <c r="Q2">
        <f>(L2/(L2+M2+O2))*100</f>
        <v>2.8985507246376812</v>
      </c>
      <c r="R2">
        <f>(N2/(N2+O2))*100</f>
        <v>63.768115942028977</v>
      </c>
    </row>
    <row r="3" spans="1:18" x14ac:dyDescent="0.25">
      <c r="A3" t="s">
        <v>141</v>
      </c>
      <c r="B3">
        <v>15.548805999999999</v>
      </c>
      <c r="C3">
        <v>2.7869999999999999</v>
      </c>
      <c r="E3">
        <v>68.0299635488078</v>
      </c>
      <c r="F3">
        <v>2985558</v>
      </c>
      <c r="G3">
        <v>3405.33</v>
      </c>
      <c r="H3">
        <v>219</v>
      </c>
      <c r="I3" t="s">
        <v>12</v>
      </c>
    </row>
    <row r="4" spans="1:18" x14ac:dyDescent="0.25">
      <c r="A4" t="s">
        <v>142</v>
      </c>
      <c r="B4">
        <v>15.551860999999999</v>
      </c>
      <c r="C4">
        <v>2.0219999999999998</v>
      </c>
      <c r="E4">
        <v>66.769220479550498</v>
      </c>
      <c r="F4">
        <v>1317250</v>
      </c>
      <c r="G4">
        <v>1458</v>
      </c>
      <c r="H4">
        <v>219</v>
      </c>
      <c r="I4" t="s">
        <v>12</v>
      </c>
    </row>
    <row r="5" spans="1:18" x14ac:dyDescent="0.25">
      <c r="A5" t="s">
        <v>143</v>
      </c>
      <c r="B5">
        <v>15.561039000000001</v>
      </c>
      <c r="C5">
        <v>4.0970000000000004</v>
      </c>
      <c r="E5">
        <v>72.470989532822799</v>
      </c>
      <c r="F5">
        <v>2578042</v>
      </c>
      <c r="G5">
        <v>5284.13</v>
      </c>
      <c r="H5">
        <v>213</v>
      </c>
      <c r="I5" t="s">
        <v>12</v>
      </c>
    </row>
    <row r="6" spans="1:18" x14ac:dyDescent="0.25">
      <c r="A6" t="s">
        <v>144</v>
      </c>
      <c r="B6">
        <v>15.566538000000001</v>
      </c>
      <c r="C6">
        <v>1.927</v>
      </c>
      <c r="E6">
        <v>23.5829181018626</v>
      </c>
      <c r="F6">
        <v>405100</v>
      </c>
      <c r="G6">
        <v>368.64499999999998</v>
      </c>
      <c r="H6">
        <v>224</v>
      </c>
      <c r="I6" t="s">
        <v>11</v>
      </c>
    </row>
    <row r="7" spans="1:18" x14ac:dyDescent="0.25">
      <c r="A7" t="s">
        <v>145</v>
      </c>
      <c r="B7">
        <v>15.576352999999999</v>
      </c>
      <c r="C7">
        <v>3.1680000000000001</v>
      </c>
      <c r="E7">
        <v>27.896866535130201</v>
      </c>
      <c r="F7">
        <v>510806</v>
      </c>
      <c r="G7">
        <v>289.85899999999998</v>
      </c>
      <c r="H7">
        <v>214</v>
      </c>
      <c r="I7" t="s">
        <v>11</v>
      </c>
    </row>
    <row r="8" spans="1:18" x14ac:dyDescent="0.25">
      <c r="A8" t="s">
        <v>146</v>
      </c>
      <c r="B8">
        <v>15.776332000000002</v>
      </c>
      <c r="C8">
        <v>2.879</v>
      </c>
      <c r="E8">
        <v>63.147510283249098</v>
      </c>
      <c r="F8">
        <v>1888906</v>
      </c>
      <c r="G8">
        <v>1391.11</v>
      </c>
      <c r="H8">
        <v>216</v>
      </c>
      <c r="I8" t="s">
        <v>12</v>
      </c>
    </row>
    <row r="9" spans="1:18" x14ac:dyDescent="0.25">
      <c r="A9" t="s">
        <v>147</v>
      </c>
      <c r="B9">
        <v>16.158376000000001</v>
      </c>
      <c r="C9">
        <v>1.133</v>
      </c>
      <c r="E9">
        <v>37.732000133765801</v>
      </c>
      <c r="F9">
        <v>1277564</v>
      </c>
      <c r="G9">
        <v>1557.12</v>
      </c>
      <c r="H9">
        <v>222</v>
      </c>
      <c r="I9" t="s">
        <v>11</v>
      </c>
    </row>
    <row r="10" spans="1:18" x14ac:dyDescent="0.25">
      <c r="A10" t="s">
        <v>148</v>
      </c>
      <c r="B10">
        <v>16.164082999999998</v>
      </c>
      <c r="C10">
        <v>1.365</v>
      </c>
      <c r="E10">
        <v>43.641106243520703</v>
      </c>
      <c r="F10">
        <v>561152</v>
      </c>
      <c r="G10">
        <v>800.77</v>
      </c>
      <c r="H10">
        <v>224</v>
      </c>
      <c r="I10" t="s">
        <v>11</v>
      </c>
    </row>
    <row r="11" spans="1:18" x14ac:dyDescent="0.25">
      <c r="A11" t="s">
        <v>149</v>
      </c>
      <c r="B11">
        <v>16.164082999999998</v>
      </c>
      <c r="C11">
        <v>1.5940000000000001</v>
      </c>
      <c r="E11">
        <v>34.8694110958766</v>
      </c>
      <c r="F11">
        <v>1009772</v>
      </c>
      <c r="G11">
        <v>1061.95</v>
      </c>
      <c r="H11">
        <v>221</v>
      </c>
      <c r="I11" t="s">
        <v>11</v>
      </c>
    </row>
    <row r="12" spans="1:18" x14ac:dyDescent="0.25">
      <c r="A12" t="s">
        <v>150</v>
      </c>
      <c r="B12">
        <v>16.175522999999998</v>
      </c>
      <c r="C12">
        <v>1.123</v>
      </c>
      <c r="E12">
        <v>48.373072935825803</v>
      </c>
      <c r="F12">
        <v>259314</v>
      </c>
      <c r="G12">
        <v>294.40699999999998</v>
      </c>
      <c r="H12">
        <v>223</v>
      </c>
      <c r="I12" t="s">
        <v>11</v>
      </c>
    </row>
    <row r="13" spans="1:18" x14ac:dyDescent="0.25">
      <c r="A13" t="s">
        <v>151</v>
      </c>
      <c r="B13">
        <v>16.180605999999997</v>
      </c>
      <c r="C13">
        <v>3.0019999999999998</v>
      </c>
      <c r="E13">
        <v>79.262950205664893</v>
      </c>
      <c r="F13">
        <v>1294354</v>
      </c>
      <c r="G13">
        <v>3488.06</v>
      </c>
      <c r="H13">
        <v>202</v>
      </c>
      <c r="I13" t="s">
        <v>12</v>
      </c>
    </row>
    <row r="14" spans="1:18" x14ac:dyDescent="0.25">
      <c r="A14" t="s">
        <v>152</v>
      </c>
      <c r="B14">
        <v>16.182517000000001</v>
      </c>
      <c r="C14">
        <v>2.12</v>
      </c>
      <c r="E14">
        <v>64.598869678627494</v>
      </c>
      <c r="F14">
        <v>1236762</v>
      </c>
      <c r="G14">
        <v>2657.13</v>
      </c>
      <c r="H14">
        <v>210</v>
      </c>
      <c r="I14" t="s">
        <v>12</v>
      </c>
    </row>
    <row r="15" spans="1:18" x14ac:dyDescent="0.25">
      <c r="A15" t="s">
        <v>153</v>
      </c>
      <c r="B15">
        <v>16.204825</v>
      </c>
      <c r="C15">
        <v>3.0939999999999999</v>
      </c>
      <c r="E15">
        <v>74.4908537604922</v>
      </c>
      <c r="F15">
        <v>1223096</v>
      </c>
      <c r="G15">
        <v>3007.57</v>
      </c>
      <c r="H15">
        <v>202</v>
      </c>
      <c r="I15" t="s">
        <v>12</v>
      </c>
    </row>
    <row r="16" spans="1:18" x14ac:dyDescent="0.25">
      <c r="A16" t="s">
        <v>154</v>
      </c>
      <c r="B16">
        <v>16.206735999999999</v>
      </c>
      <c r="C16">
        <v>2.9910000000000001</v>
      </c>
      <c r="E16">
        <v>89.061298197505195</v>
      </c>
      <c r="F16">
        <v>1728004</v>
      </c>
      <c r="G16">
        <v>4371.97</v>
      </c>
      <c r="H16">
        <v>213</v>
      </c>
      <c r="I16" t="s">
        <v>12</v>
      </c>
    </row>
    <row r="17" spans="1:9" x14ac:dyDescent="0.25">
      <c r="A17" t="s">
        <v>155</v>
      </c>
      <c r="B17">
        <v>16.270175999999999</v>
      </c>
      <c r="C17">
        <v>8.9640000000000004</v>
      </c>
      <c r="E17">
        <v>86.412734508243304</v>
      </c>
      <c r="F17">
        <v>2044882</v>
      </c>
      <c r="G17">
        <v>5754.79</v>
      </c>
      <c r="H17">
        <v>211</v>
      </c>
      <c r="I17" t="s">
        <v>12</v>
      </c>
    </row>
    <row r="18" spans="1:9" x14ac:dyDescent="0.25">
      <c r="A18" t="s">
        <v>156</v>
      </c>
      <c r="B18">
        <v>16.512457000000001</v>
      </c>
      <c r="C18">
        <v>2.42</v>
      </c>
      <c r="E18">
        <v>60.6260241447346</v>
      </c>
      <c r="F18">
        <v>1013156</v>
      </c>
      <c r="G18">
        <v>2407.4499999999998</v>
      </c>
      <c r="H18">
        <v>202</v>
      </c>
      <c r="I18" t="s">
        <v>12</v>
      </c>
    </row>
    <row r="19" spans="1:9" x14ac:dyDescent="0.25">
      <c r="A19" t="s">
        <v>157</v>
      </c>
      <c r="B19">
        <v>16.536961999999999</v>
      </c>
      <c r="C19">
        <v>3.294</v>
      </c>
      <c r="E19">
        <v>64.137377520650105</v>
      </c>
      <c r="F19">
        <v>1328890</v>
      </c>
      <c r="G19">
        <v>2312.09</v>
      </c>
      <c r="H19">
        <v>214</v>
      </c>
      <c r="I19" t="s">
        <v>12</v>
      </c>
    </row>
    <row r="20" spans="1:9" x14ac:dyDescent="0.25">
      <c r="A20" t="s">
        <v>158</v>
      </c>
      <c r="B20">
        <v>16.790735000000002</v>
      </c>
      <c r="C20">
        <v>1.8380000000000001</v>
      </c>
      <c r="E20">
        <v>70.698592114503498</v>
      </c>
      <c r="F20">
        <v>934622</v>
      </c>
      <c r="G20">
        <v>2467.89</v>
      </c>
      <c r="H20">
        <v>208</v>
      </c>
      <c r="I20" t="s">
        <v>12</v>
      </c>
    </row>
    <row r="21" spans="1:9" x14ac:dyDescent="0.25">
      <c r="A21" t="s">
        <v>159</v>
      </c>
      <c r="B21">
        <v>16.793374</v>
      </c>
      <c r="C21">
        <v>2.089</v>
      </c>
      <c r="E21">
        <v>39.149918068421201</v>
      </c>
      <c r="F21">
        <v>455324</v>
      </c>
      <c r="G21">
        <v>500.09699999999998</v>
      </c>
      <c r="H21">
        <v>224</v>
      </c>
      <c r="I21" t="s">
        <v>11</v>
      </c>
    </row>
    <row r="22" spans="1:9" x14ac:dyDescent="0.25">
      <c r="A22" t="s">
        <v>160</v>
      </c>
      <c r="B22">
        <v>16.794687</v>
      </c>
      <c r="C22">
        <v>5.4509999999999996</v>
      </c>
      <c r="E22">
        <v>82.566966525097797</v>
      </c>
      <c r="F22">
        <v>1865596</v>
      </c>
      <c r="G22">
        <v>4470.37</v>
      </c>
      <c r="H22">
        <v>211</v>
      </c>
      <c r="I22" t="s">
        <v>12</v>
      </c>
    </row>
    <row r="23" spans="1:9" x14ac:dyDescent="0.25">
      <c r="A23" t="s">
        <v>161</v>
      </c>
      <c r="B23">
        <v>16.795999999999999</v>
      </c>
      <c r="C23">
        <v>4.2350000000000003</v>
      </c>
      <c r="E23">
        <v>59.365281075477299</v>
      </c>
      <c r="F23">
        <v>823310</v>
      </c>
      <c r="G23">
        <v>1171.7</v>
      </c>
      <c r="H23">
        <v>201</v>
      </c>
      <c r="I23" t="s">
        <v>11</v>
      </c>
    </row>
    <row r="24" spans="1:9" x14ac:dyDescent="0.25">
      <c r="A24" t="s">
        <v>162</v>
      </c>
      <c r="B24">
        <v>16.807244999999998</v>
      </c>
      <c r="C24">
        <v>2.1779999999999999</v>
      </c>
      <c r="E24">
        <v>66.608701468080099</v>
      </c>
      <c r="F24">
        <v>805974</v>
      </c>
      <c r="G24">
        <v>1215.42</v>
      </c>
      <c r="H24">
        <v>221</v>
      </c>
      <c r="I24" t="s">
        <v>12</v>
      </c>
    </row>
    <row r="25" spans="1:9" x14ac:dyDescent="0.25">
      <c r="A25" t="s">
        <v>163</v>
      </c>
      <c r="B25">
        <v>16.833725999999999</v>
      </c>
      <c r="C25">
        <v>2.133</v>
      </c>
      <c r="E25">
        <v>37.303949436511303</v>
      </c>
      <c r="F25">
        <v>2384288</v>
      </c>
      <c r="G25">
        <v>2058.98</v>
      </c>
      <c r="H25">
        <v>223</v>
      </c>
      <c r="I25" t="s">
        <v>11</v>
      </c>
    </row>
    <row r="26" spans="1:9" x14ac:dyDescent="0.25">
      <c r="A26" t="s">
        <v>164</v>
      </c>
      <c r="B26">
        <v>16.849651000000001</v>
      </c>
      <c r="C26">
        <v>3.032</v>
      </c>
      <c r="E26">
        <v>37.962746212754503</v>
      </c>
      <c r="F26">
        <v>830374</v>
      </c>
      <c r="G26">
        <v>360.46100000000001</v>
      </c>
      <c r="H26">
        <v>216</v>
      </c>
      <c r="I26" t="s">
        <v>11</v>
      </c>
    </row>
    <row r="27" spans="1:9" x14ac:dyDescent="0.25">
      <c r="A27" t="s">
        <v>165</v>
      </c>
      <c r="B27">
        <v>16.873609999999999</v>
      </c>
      <c r="C27">
        <v>2.5529999999999999</v>
      </c>
      <c r="E27">
        <v>76.199712403437701</v>
      </c>
      <c r="F27">
        <v>1181838</v>
      </c>
      <c r="G27">
        <v>2812.39</v>
      </c>
      <c r="H27">
        <v>210</v>
      </c>
      <c r="I27" t="s">
        <v>12</v>
      </c>
    </row>
    <row r="28" spans="1:9" x14ac:dyDescent="0.25">
      <c r="A28" t="s">
        <v>166</v>
      </c>
      <c r="B28">
        <v>16.875612</v>
      </c>
      <c r="C28">
        <v>3.9950000000000001</v>
      </c>
      <c r="E28">
        <v>57.910577534026601</v>
      </c>
      <c r="F28">
        <v>1307980</v>
      </c>
      <c r="G28">
        <v>1715.25</v>
      </c>
      <c r="H28">
        <v>212</v>
      </c>
      <c r="I28" t="s">
        <v>11</v>
      </c>
    </row>
    <row r="29" spans="1:9" x14ac:dyDescent="0.25">
      <c r="A29" t="s">
        <v>167</v>
      </c>
      <c r="B29">
        <v>16.986294000000001</v>
      </c>
      <c r="C29">
        <v>1.2709999999999999</v>
      </c>
      <c r="E29">
        <v>65.220880848075396</v>
      </c>
      <c r="F29">
        <v>1223682</v>
      </c>
      <c r="G29">
        <v>2544.3200000000002</v>
      </c>
      <c r="H29">
        <v>224</v>
      </c>
      <c r="I29" t="s">
        <v>12</v>
      </c>
    </row>
    <row r="30" spans="1:9" x14ac:dyDescent="0.25">
      <c r="A30" t="s">
        <v>168</v>
      </c>
      <c r="B30">
        <v>17.393129000000002</v>
      </c>
      <c r="C30">
        <v>3.6150000000000002</v>
      </c>
      <c r="E30">
        <v>50.904591512557197</v>
      </c>
      <c r="F30">
        <v>725854</v>
      </c>
      <c r="G30">
        <v>1363.65</v>
      </c>
      <c r="H30">
        <v>205</v>
      </c>
      <c r="I30" t="s">
        <v>11</v>
      </c>
    </row>
    <row r="31" spans="1:9" x14ac:dyDescent="0.25">
      <c r="A31" t="s">
        <v>169</v>
      </c>
      <c r="B31">
        <v>17.398588999999998</v>
      </c>
      <c r="C31">
        <v>3.8940000000000001</v>
      </c>
      <c r="E31">
        <v>66.214092231548605</v>
      </c>
      <c r="F31">
        <v>774988</v>
      </c>
      <c r="G31">
        <v>1574.76</v>
      </c>
      <c r="H31">
        <v>211</v>
      </c>
      <c r="I31" t="s">
        <v>12</v>
      </c>
    </row>
    <row r="32" spans="1:9" x14ac:dyDescent="0.25">
      <c r="A32" t="s">
        <v>170</v>
      </c>
      <c r="B32">
        <v>17.400642999999999</v>
      </c>
      <c r="C32">
        <v>2.806</v>
      </c>
      <c r="E32">
        <v>71.116610373541107</v>
      </c>
      <c r="F32">
        <v>1291308</v>
      </c>
      <c r="G32">
        <v>803.72199999999998</v>
      </c>
      <c r="H32">
        <v>217</v>
      </c>
      <c r="I32" t="s">
        <v>12</v>
      </c>
    </row>
    <row r="33" spans="1:9" x14ac:dyDescent="0.25">
      <c r="A33" t="s">
        <v>171</v>
      </c>
      <c r="B33">
        <v>17.404738000000002</v>
      </c>
      <c r="C33">
        <v>2.363</v>
      </c>
      <c r="E33">
        <v>57.091261746313002</v>
      </c>
      <c r="F33">
        <v>2781782</v>
      </c>
      <c r="G33">
        <v>2746.18</v>
      </c>
      <c r="H33">
        <v>215</v>
      </c>
      <c r="I33" t="s">
        <v>11</v>
      </c>
    </row>
    <row r="34" spans="1:9" x14ac:dyDescent="0.25">
      <c r="A34" t="s">
        <v>172</v>
      </c>
      <c r="B34">
        <v>17.404738000000002</v>
      </c>
      <c r="C34">
        <v>3.4780000000000002</v>
      </c>
      <c r="E34">
        <v>68.859311774738302</v>
      </c>
      <c r="F34">
        <v>2927808</v>
      </c>
      <c r="G34">
        <v>5740.57</v>
      </c>
      <c r="H34">
        <v>223</v>
      </c>
      <c r="I34" t="s">
        <v>12</v>
      </c>
    </row>
    <row r="35" spans="1:9" x14ac:dyDescent="0.25">
      <c r="A35" t="s">
        <v>173</v>
      </c>
      <c r="B35">
        <v>17.405427</v>
      </c>
      <c r="C35">
        <v>2.2320000000000002</v>
      </c>
      <c r="E35">
        <v>74.300237434371098</v>
      </c>
      <c r="F35">
        <v>3907942</v>
      </c>
      <c r="G35">
        <v>6278.25</v>
      </c>
      <c r="H35">
        <v>215</v>
      </c>
      <c r="I35" t="s">
        <v>12</v>
      </c>
    </row>
    <row r="36" spans="1:9" x14ac:dyDescent="0.25">
      <c r="A36" t="s">
        <v>174</v>
      </c>
      <c r="B36">
        <v>17.412264999999998</v>
      </c>
      <c r="C36">
        <v>1.927</v>
      </c>
      <c r="E36">
        <v>72.868942915426501</v>
      </c>
      <c r="F36">
        <v>2483134</v>
      </c>
      <c r="G36">
        <v>4239.76</v>
      </c>
      <c r="H36">
        <v>216</v>
      </c>
      <c r="I36" t="s">
        <v>12</v>
      </c>
    </row>
    <row r="37" spans="1:9" x14ac:dyDescent="0.25">
      <c r="A37" t="s">
        <v>175</v>
      </c>
      <c r="B37">
        <v>17.42117</v>
      </c>
      <c r="C37">
        <v>2.052</v>
      </c>
      <c r="E37">
        <v>67.341069457913903</v>
      </c>
      <c r="F37">
        <v>2476102</v>
      </c>
      <c r="G37">
        <v>3582.83</v>
      </c>
      <c r="H37">
        <v>215</v>
      </c>
      <c r="I37" t="s">
        <v>12</v>
      </c>
    </row>
    <row r="38" spans="1:9" x14ac:dyDescent="0.25">
      <c r="A38" t="s">
        <v>176</v>
      </c>
      <c r="B38">
        <v>17.425953999999997</v>
      </c>
      <c r="C38">
        <v>1.179</v>
      </c>
      <c r="E38">
        <v>40.0127077550747</v>
      </c>
      <c r="F38">
        <v>1494450</v>
      </c>
      <c r="G38">
        <v>2305.73</v>
      </c>
      <c r="H38">
        <v>221</v>
      </c>
      <c r="I38" t="s">
        <v>11</v>
      </c>
    </row>
    <row r="39" spans="1:9" x14ac:dyDescent="0.25">
      <c r="A39" t="s">
        <v>177</v>
      </c>
      <c r="B39">
        <v>17.426642999999999</v>
      </c>
      <c r="C39">
        <v>3.9159999999999999</v>
      </c>
      <c r="E39">
        <v>91.900478212888302</v>
      </c>
      <c r="F39">
        <v>1431190</v>
      </c>
      <c r="G39">
        <v>3794</v>
      </c>
      <c r="H39">
        <v>205</v>
      </c>
      <c r="I39" t="s">
        <v>10</v>
      </c>
    </row>
    <row r="40" spans="1:9" x14ac:dyDescent="0.25">
      <c r="A40" t="s">
        <v>178</v>
      </c>
      <c r="B40">
        <v>17.432129</v>
      </c>
      <c r="C40">
        <v>2.0790000000000002</v>
      </c>
      <c r="E40">
        <v>69.090057853727004</v>
      </c>
      <c r="F40">
        <v>1136418</v>
      </c>
      <c r="G40">
        <v>2623.16</v>
      </c>
      <c r="H40">
        <v>204</v>
      </c>
      <c r="I40" t="s">
        <v>12</v>
      </c>
    </row>
    <row r="41" spans="1:9" x14ac:dyDescent="0.25">
      <c r="A41" t="s">
        <v>179</v>
      </c>
      <c r="B41">
        <v>17.569669000000001</v>
      </c>
      <c r="C41">
        <v>2.72</v>
      </c>
      <c r="E41">
        <v>74.112965254322305</v>
      </c>
      <c r="F41">
        <v>3079348</v>
      </c>
      <c r="G41">
        <v>2314.41</v>
      </c>
      <c r="H41">
        <v>220</v>
      </c>
      <c r="I41" t="s">
        <v>12</v>
      </c>
    </row>
    <row r="42" spans="1:9" x14ac:dyDescent="0.25">
      <c r="A42" t="s">
        <v>180</v>
      </c>
      <c r="B42">
        <v>17.688189999999999</v>
      </c>
      <c r="C42">
        <v>2.601</v>
      </c>
      <c r="E42">
        <v>55.853927699561901</v>
      </c>
      <c r="F42">
        <v>1038296</v>
      </c>
      <c r="G42">
        <v>1424.03</v>
      </c>
      <c r="H42">
        <v>214</v>
      </c>
      <c r="I42" t="s">
        <v>11</v>
      </c>
    </row>
    <row r="43" spans="1:9" x14ac:dyDescent="0.25">
      <c r="A43" t="s">
        <v>181</v>
      </c>
      <c r="B43">
        <v>17.970082000000001</v>
      </c>
      <c r="C43">
        <v>5.7789999999999999</v>
      </c>
      <c r="E43">
        <v>75.367020031434905</v>
      </c>
      <c r="F43">
        <v>1487528</v>
      </c>
      <c r="G43">
        <v>3399.25</v>
      </c>
      <c r="H43">
        <v>202</v>
      </c>
      <c r="I43" t="s">
        <v>12</v>
      </c>
    </row>
    <row r="44" spans="1:9" x14ac:dyDescent="0.25">
      <c r="A44" t="s">
        <v>182</v>
      </c>
      <c r="B44">
        <v>18.030232999999999</v>
      </c>
      <c r="C44">
        <v>3.218</v>
      </c>
      <c r="E44">
        <v>65.862956893957104</v>
      </c>
      <c r="F44">
        <v>2185052</v>
      </c>
      <c r="G44">
        <v>5173.78</v>
      </c>
      <c r="H44">
        <v>212</v>
      </c>
      <c r="I44" t="s">
        <v>12</v>
      </c>
    </row>
    <row r="45" spans="1:9" x14ac:dyDescent="0.25">
      <c r="A45" t="s">
        <v>183</v>
      </c>
      <c r="B45">
        <v>18.030947999999999</v>
      </c>
      <c r="C45">
        <v>5.4340000000000002</v>
      </c>
      <c r="E45">
        <v>72.501086847473502</v>
      </c>
      <c r="F45">
        <v>2226444</v>
      </c>
      <c r="G45">
        <v>4697.57</v>
      </c>
      <c r="H45">
        <v>212</v>
      </c>
      <c r="I45" t="s">
        <v>12</v>
      </c>
    </row>
    <row r="46" spans="1:9" x14ac:dyDescent="0.25">
      <c r="A46" t="s">
        <v>184</v>
      </c>
      <c r="B46">
        <v>18.032364999999999</v>
      </c>
      <c r="C46">
        <v>1.248</v>
      </c>
      <c r="E46">
        <v>16.369595023910598</v>
      </c>
      <c r="F46">
        <v>794504</v>
      </c>
      <c r="G46">
        <v>551.36500000000001</v>
      </c>
      <c r="H46">
        <v>224</v>
      </c>
      <c r="I46" t="s">
        <v>11</v>
      </c>
    </row>
    <row r="47" spans="1:9" x14ac:dyDescent="0.25">
      <c r="A47" t="s">
        <v>185</v>
      </c>
      <c r="B47">
        <v>18.041582000000002</v>
      </c>
      <c r="C47">
        <v>4.4660000000000002</v>
      </c>
      <c r="E47">
        <v>76.012440223388893</v>
      </c>
      <c r="F47">
        <v>1650324</v>
      </c>
      <c r="G47">
        <v>2565.15</v>
      </c>
      <c r="H47">
        <v>213</v>
      </c>
      <c r="I47" t="s">
        <v>12</v>
      </c>
    </row>
    <row r="48" spans="1:9" x14ac:dyDescent="0.25">
      <c r="A48" t="s">
        <v>186</v>
      </c>
      <c r="B48">
        <v>18.078527999999999</v>
      </c>
      <c r="C48">
        <v>0.19500000000000001</v>
      </c>
      <c r="E48">
        <v>73.678226264923197</v>
      </c>
      <c r="F48">
        <v>1603864</v>
      </c>
      <c r="G48">
        <v>2962.8</v>
      </c>
      <c r="H48">
        <v>213</v>
      </c>
      <c r="I48" t="s">
        <v>12</v>
      </c>
    </row>
    <row r="49" spans="1:9" x14ac:dyDescent="0.25">
      <c r="A49" t="s">
        <v>187</v>
      </c>
      <c r="B49">
        <v>18.090644000000001</v>
      </c>
      <c r="C49">
        <v>7.36</v>
      </c>
      <c r="E49">
        <v>78.493796609035797</v>
      </c>
      <c r="F49">
        <v>893818</v>
      </c>
      <c r="G49">
        <v>2186.96</v>
      </c>
      <c r="H49">
        <v>211</v>
      </c>
      <c r="I49" t="s">
        <v>12</v>
      </c>
    </row>
    <row r="50" spans="1:9" x14ac:dyDescent="0.25">
      <c r="A50" t="s">
        <v>188</v>
      </c>
      <c r="B50">
        <v>18.091359000000001</v>
      </c>
      <c r="C50">
        <v>2.8690000000000002</v>
      </c>
      <c r="E50">
        <v>82.727485536568196</v>
      </c>
      <c r="F50">
        <v>974566</v>
      </c>
      <c r="G50">
        <v>2397.27</v>
      </c>
      <c r="H50">
        <v>210</v>
      </c>
      <c r="I50" t="s">
        <v>12</v>
      </c>
    </row>
    <row r="51" spans="1:9" x14ac:dyDescent="0.25">
      <c r="A51" t="s">
        <v>189</v>
      </c>
      <c r="B51">
        <v>18.135676</v>
      </c>
      <c r="C51">
        <v>0.438</v>
      </c>
      <c r="E51">
        <v>76.019128515533495</v>
      </c>
      <c r="F51">
        <v>416774</v>
      </c>
      <c r="G51">
        <v>906.03899999999999</v>
      </c>
      <c r="H51">
        <v>207</v>
      </c>
      <c r="I51" t="s">
        <v>12</v>
      </c>
    </row>
    <row r="52" spans="1:9" x14ac:dyDescent="0.25">
      <c r="A52" t="s">
        <v>190</v>
      </c>
      <c r="B52">
        <v>18.642077999999998</v>
      </c>
      <c r="C52">
        <v>1.4870000000000001</v>
      </c>
      <c r="E52">
        <v>53.887569809049197</v>
      </c>
      <c r="F52">
        <v>1709584</v>
      </c>
      <c r="G52">
        <v>2372.15</v>
      </c>
      <c r="H52">
        <v>217</v>
      </c>
      <c r="I52" t="s">
        <v>11</v>
      </c>
    </row>
    <row r="53" spans="1:9" x14ac:dyDescent="0.25">
      <c r="A53" t="s">
        <v>191</v>
      </c>
      <c r="B53">
        <v>18.64941</v>
      </c>
      <c r="C53">
        <v>4.1589999999999998</v>
      </c>
      <c r="E53">
        <v>79.607397251111905</v>
      </c>
      <c r="F53">
        <v>990012</v>
      </c>
      <c r="G53">
        <v>1792.03</v>
      </c>
      <c r="H53">
        <v>206</v>
      </c>
      <c r="I53" t="s">
        <v>12</v>
      </c>
    </row>
    <row r="54" spans="1:9" x14ac:dyDescent="0.25">
      <c r="A54" t="s">
        <v>192</v>
      </c>
      <c r="B54">
        <v>18.660395000000001</v>
      </c>
      <c r="C54">
        <v>0.20599999999999999</v>
      </c>
      <c r="E54">
        <v>91.703173594622598</v>
      </c>
      <c r="F54">
        <v>963344</v>
      </c>
      <c r="G54">
        <v>2517.3200000000002</v>
      </c>
      <c r="H54">
        <v>207</v>
      </c>
      <c r="I54" t="s">
        <v>10</v>
      </c>
    </row>
    <row r="55" spans="1:9" x14ac:dyDescent="0.25">
      <c r="A55" t="s">
        <v>193</v>
      </c>
      <c r="B55">
        <v>18.670678000000002</v>
      </c>
      <c r="C55">
        <v>3.306</v>
      </c>
      <c r="E55">
        <v>37.313981874728199</v>
      </c>
      <c r="F55">
        <v>433102</v>
      </c>
      <c r="G55">
        <v>462.84100000000001</v>
      </c>
      <c r="H55">
        <v>214</v>
      </c>
      <c r="I55" t="s">
        <v>11</v>
      </c>
    </row>
    <row r="56" spans="1:9" x14ac:dyDescent="0.25">
      <c r="A56" t="s">
        <v>194</v>
      </c>
      <c r="B56">
        <v>18.684626999999999</v>
      </c>
      <c r="C56">
        <v>1.077</v>
      </c>
      <c r="E56">
        <v>46.4702538206868</v>
      </c>
      <c r="F56">
        <v>175628</v>
      </c>
      <c r="G56">
        <v>296.59300000000002</v>
      </c>
      <c r="H56">
        <v>221</v>
      </c>
      <c r="I56" t="s">
        <v>11</v>
      </c>
    </row>
    <row r="57" spans="1:9" x14ac:dyDescent="0.25">
      <c r="A57" t="s">
        <v>195</v>
      </c>
      <c r="B57">
        <v>18.765122999999999</v>
      </c>
      <c r="C57">
        <v>1.8520000000000001</v>
      </c>
      <c r="E57">
        <v>64.311273116409694</v>
      </c>
      <c r="F57">
        <v>950024</v>
      </c>
      <c r="G57">
        <v>1978.43</v>
      </c>
      <c r="H57">
        <v>210</v>
      </c>
      <c r="I57" t="s">
        <v>12</v>
      </c>
    </row>
    <row r="58" spans="1:9" x14ac:dyDescent="0.25">
      <c r="A58" t="s">
        <v>196</v>
      </c>
      <c r="B58">
        <v>19.26613</v>
      </c>
      <c r="C58">
        <v>2.8069999999999999</v>
      </c>
      <c r="E58">
        <v>45.841554359094403</v>
      </c>
      <c r="F58">
        <v>1316180</v>
      </c>
      <c r="G58">
        <v>2787.91</v>
      </c>
      <c r="H58">
        <v>212</v>
      </c>
      <c r="I58" t="s">
        <v>11</v>
      </c>
    </row>
    <row r="59" spans="1:9" x14ac:dyDescent="0.25">
      <c r="A59" t="s">
        <v>197</v>
      </c>
      <c r="B59">
        <v>19.275970999999998</v>
      </c>
      <c r="C59">
        <v>1.298</v>
      </c>
      <c r="E59">
        <v>0.98652309132862903</v>
      </c>
      <c r="F59">
        <v>1769146</v>
      </c>
      <c r="G59">
        <v>0.57606299999999999</v>
      </c>
      <c r="H59">
        <v>211</v>
      </c>
      <c r="I59" t="s">
        <v>11</v>
      </c>
    </row>
    <row r="60" spans="1:9" x14ac:dyDescent="0.25">
      <c r="A60" t="s">
        <v>198</v>
      </c>
      <c r="B60">
        <v>19.292650000000002</v>
      </c>
      <c r="C60">
        <v>2.4649999999999999</v>
      </c>
      <c r="E60">
        <v>86.258903788917493</v>
      </c>
      <c r="F60">
        <v>1924800</v>
      </c>
      <c r="G60">
        <v>5262.45</v>
      </c>
      <c r="H60">
        <v>210</v>
      </c>
      <c r="I60" t="s">
        <v>12</v>
      </c>
    </row>
    <row r="61" spans="1:9" x14ac:dyDescent="0.25">
      <c r="A61" t="s">
        <v>199</v>
      </c>
      <c r="B61">
        <v>19.310109000000001</v>
      </c>
      <c r="C61">
        <v>2.415</v>
      </c>
      <c r="E61">
        <v>41.855332240912198</v>
      </c>
      <c r="F61">
        <v>1331586</v>
      </c>
      <c r="G61">
        <v>2408.87</v>
      </c>
      <c r="H61">
        <v>212</v>
      </c>
      <c r="I61" t="s">
        <v>11</v>
      </c>
    </row>
    <row r="62" spans="1:9" x14ac:dyDescent="0.25">
      <c r="A62" t="s">
        <v>200</v>
      </c>
      <c r="B62">
        <v>19.342089000000001</v>
      </c>
      <c r="C62">
        <v>2.0449999999999999</v>
      </c>
      <c r="E62">
        <v>64.585493094338304</v>
      </c>
      <c r="F62">
        <v>1545092</v>
      </c>
      <c r="G62">
        <v>2498.04</v>
      </c>
      <c r="H62">
        <v>224</v>
      </c>
      <c r="I62" t="s">
        <v>12</v>
      </c>
    </row>
    <row r="63" spans="1:9" x14ac:dyDescent="0.25">
      <c r="A63" t="s">
        <v>201</v>
      </c>
      <c r="B63">
        <v>19.407882000000001</v>
      </c>
      <c r="C63">
        <v>2.6190000000000002</v>
      </c>
      <c r="E63">
        <v>89.689997659097699</v>
      </c>
      <c r="F63">
        <v>2352726</v>
      </c>
      <c r="G63">
        <v>6114.85</v>
      </c>
      <c r="H63">
        <v>210</v>
      </c>
      <c r="I63" t="s">
        <v>12</v>
      </c>
    </row>
    <row r="64" spans="1:9" x14ac:dyDescent="0.25">
      <c r="A64" t="s">
        <v>202</v>
      </c>
      <c r="B64">
        <v>19.880198</v>
      </c>
      <c r="C64">
        <v>2.1280000000000001</v>
      </c>
      <c r="E64">
        <v>51.218941243353498</v>
      </c>
      <c r="F64">
        <v>1378764</v>
      </c>
      <c r="G64">
        <v>1343.66</v>
      </c>
      <c r="H64">
        <v>221</v>
      </c>
      <c r="I64" t="s">
        <v>11</v>
      </c>
    </row>
    <row r="65" spans="1:9" x14ac:dyDescent="0.25">
      <c r="A65" t="s">
        <v>203</v>
      </c>
      <c r="B65">
        <v>19.892963999999999</v>
      </c>
      <c r="C65">
        <v>2.2679999999999998</v>
      </c>
      <c r="E65">
        <v>89.114804534661999</v>
      </c>
      <c r="F65">
        <v>2625814</v>
      </c>
      <c r="G65">
        <v>5919.88</v>
      </c>
      <c r="H65">
        <v>217</v>
      </c>
      <c r="I65" t="s">
        <v>12</v>
      </c>
    </row>
    <row r="66" spans="1:9" x14ac:dyDescent="0.25">
      <c r="A66" t="s">
        <v>204</v>
      </c>
      <c r="B66">
        <v>19.901297</v>
      </c>
      <c r="C66">
        <v>2.61</v>
      </c>
      <c r="E66">
        <v>69.966224124669694</v>
      </c>
      <c r="F66">
        <v>842342</v>
      </c>
      <c r="G66">
        <v>1397.4</v>
      </c>
      <c r="H66">
        <v>217</v>
      </c>
      <c r="I66" t="s">
        <v>12</v>
      </c>
    </row>
    <row r="67" spans="1:9" x14ac:dyDescent="0.25">
      <c r="A67" t="s">
        <v>205</v>
      </c>
      <c r="B67">
        <v>19.902076999999998</v>
      </c>
      <c r="C67">
        <v>2.8460000000000001</v>
      </c>
      <c r="E67">
        <v>65.180751095207796</v>
      </c>
      <c r="F67">
        <v>972480</v>
      </c>
      <c r="G67">
        <v>1219.97</v>
      </c>
      <c r="H67">
        <v>217</v>
      </c>
      <c r="I67" t="s">
        <v>12</v>
      </c>
    </row>
    <row r="68" spans="1:9" x14ac:dyDescent="0.25">
      <c r="A68" t="s">
        <v>206</v>
      </c>
      <c r="B68">
        <v>19.90521</v>
      </c>
      <c r="C68">
        <v>3.8559999999999999</v>
      </c>
      <c r="E68">
        <v>89.823763501989703</v>
      </c>
      <c r="F68">
        <v>1101690</v>
      </c>
      <c r="G68">
        <v>2922.42</v>
      </c>
      <c r="H68">
        <v>202</v>
      </c>
      <c r="I68" t="s">
        <v>12</v>
      </c>
    </row>
    <row r="69" spans="1:9" x14ac:dyDescent="0.25">
      <c r="A69" t="s">
        <v>207</v>
      </c>
      <c r="B69">
        <v>19.951477000000001</v>
      </c>
      <c r="C69">
        <v>1.891</v>
      </c>
      <c r="E69">
        <v>72.792027555763596</v>
      </c>
      <c r="F69">
        <v>1903298</v>
      </c>
      <c r="G69">
        <v>4376.83</v>
      </c>
      <c r="H69">
        <v>224</v>
      </c>
      <c r="I69" t="s">
        <v>12</v>
      </c>
    </row>
    <row r="70" spans="1:9" x14ac:dyDescent="0.25">
      <c r="A70" t="s">
        <v>208</v>
      </c>
      <c r="B70">
        <v>19.993220000000001</v>
      </c>
      <c r="C70">
        <v>1.893</v>
      </c>
      <c r="E70">
        <v>37.956057920609901</v>
      </c>
      <c r="F70">
        <v>589732</v>
      </c>
      <c r="G70">
        <v>514.82600000000002</v>
      </c>
      <c r="H70">
        <v>222</v>
      </c>
      <c r="I70" t="s">
        <v>11</v>
      </c>
    </row>
  </sheetData>
  <conditionalFormatting sqref="A1">
    <cfRule type="duplicateValues" dxfId="5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01D9-5334-40AF-A390-0A8AC8AA6296}">
  <dimension ref="A1:R181"/>
  <sheetViews>
    <sheetView workbookViewId="0">
      <selection activeCell="L20" sqref="L20"/>
    </sheetView>
  </sheetViews>
  <sheetFormatPr defaultRowHeight="15" x14ac:dyDescent="0.25"/>
  <cols>
    <col min="1" max="1" width="18.7109375" customWidth="1"/>
    <col min="2" max="2" width="21.7109375" customWidth="1"/>
    <col min="3" max="3" width="20.85546875" customWidth="1"/>
    <col min="4" max="4" width="13.28515625" customWidth="1"/>
    <col min="5" max="5" width="15.42578125" customWidth="1"/>
    <col min="6" max="6" width="12.7109375" customWidth="1"/>
    <col min="7" max="7" width="11" customWidth="1"/>
    <col min="8" max="8" width="9" customWidth="1"/>
    <col min="12" max="12" width="12.5703125" customWidth="1"/>
    <col min="16" max="16" width="15" customWidth="1"/>
    <col min="17" max="17" width="16.7109375" customWidth="1"/>
    <col min="18" max="18" width="17.140625" customWidth="1"/>
  </cols>
  <sheetData>
    <row r="1" spans="1:1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  <c r="L1" s="5" t="s">
        <v>13</v>
      </c>
      <c r="M1" s="6" t="s">
        <v>14</v>
      </c>
      <c r="N1" s="6" t="s">
        <v>15</v>
      </c>
      <c r="O1" s="6" t="s">
        <v>16</v>
      </c>
      <c r="P1" s="6" t="s">
        <v>9</v>
      </c>
      <c r="Q1" s="6" t="s">
        <v>17</v>
      </c>
      <c r="R1" s="7" t="s">
        <v>18</v>
      </c>
    </row>
    <row r="2" spans="1:18" x14ac:dyDescent="0.25">
      <c r="A2" t="s">
        <v>29</v>
      </c>
      <c r="B2">
        <v>9.1928000000000001</v>
      </c>
      <c r="C2">
        <v>2.8620000000000001</v>
      </c>
      <c r="E2">
        <v>77.383540113032097</v>
      </c>
      <c r="F2">
        <v>1030410</v>
      </c>
      <c r="G2">
        <v>2648.37</v>
      </c>
      <c r="H2">
        <v>202</v>
      </c>
      <c r="I2" t="s">
        <v>12</v>
      </c>
      <c r="L2">
        <f>COUNTIF(I:I,"A")</f>
        <v>5</v>
      </c>
      <c r="M2">
        <f>COUNTIF(I:I,"B")</f>
        <v>87</v>
      </c>
      <c r="N2">
        <f>SUM(L2:M2)</f>
        <v>92</v>
      </c>
      <c r="O2">
        <f>COUNTIF(I:I,"C")</f>
        <v>88</v>
      </c>
      <c r="P2">
        <f>(O2/(L2+M2+O2))*100</f>
        <v>48.888888888888886</v>
      </c>
      <c r="Q2">
        <f>(L2/(L2+M2+O2))*100</f>
        <v>2.7777777777777777</v>
      </c>
      <c r="R2">
        <f>(N2/(N2+O2))*100</f>
        <v>51.111111111111107</v>
      </c>
    </row>
    <row r="3" spans="1:18" x14ac:dyDescent="0.25">
      <c r="A3" t="s">
        <v>30</v>
      </c>
      <c r="B3">
        <v>10.118848999999999</v>
      </c>
      <c r="C3">
        <v>2.504</v>
      </c>
      <c r="E3">
        <v>55.964284519947803</v>
      </c>
      <c r="F3">
        <v>4271092</v>
      </c>
      <c r="G3">
        <v>5438.14</v>
      </c>
      <c r="H3">
        <v>216</v>
      </c>
      <c r="I3" t="s">
        <v>11</v>
      </c>
    </row>
    <row r="4" spans="1:18" x14ac:dyDescent="0.25">
      <c r="A4" t="s">
        <v>31</v>
      </c>
      <c r="B4">
        <v>10.563227999999999</v>
      </c>
      <c r="C4">
        <v>1.746</v>
      </c>
      <c r="E4">
        <v>70.247132394743005</v>
      </c>
      <c r="F4">
        <v>2559502</v>
      </c>
      <c r="G4">
        <v>3168.34</v>
      </c>
      <c r="H4">
        <v>218</v>
      </c>
      <c r="I4" t="s">
        <v>12</v>
      </c>
    </row>
    <row r="5" spans="1:18" x14ac:dyDescent="0.25">
      <c r="A5" t="s">
        <v>32</v>
      </c>
      <c r="B5">
        <v>10.564879000000001</v>
      </c>
      <c r="C5">
        <v>1.9339999999999999</v>
      </c>
      <c r="E5">
        <v>66.658863659164595</v>
      </c>
      <c r="F5">
        <v>2929250</v>
      </c>
      <c r="G5">
        <v>5338.76</v>
      </c>
      <c r="H5">
        <v>215</v>
      </c>
      <c r="I5" t="s">
        <v>12</v>
      </c>
    </row>
    <row r="6" spans="1:18" x14ac:dyDescent="0.25">
      <c r="A6" t="s">
        <v>33</v>
      </c>
      <c r="B6">
        <v>10.567791</v>
      </c>
      <c r="C6">
        <v>4.4649999999999999</v>
      </c>
      <c r="E6">
        <v>29.806373942413799</v>
      </c>
      <c r="F6">
        <v>666140</v>
      </c>
      <c r="G6">
        <v>389.779</v>
      </c>
      <c r="H6">
        <v>214</v>
      </c>
      <c r="I6" t="s">
        <v>11</v>
      </c>
    </row>
    <row r="7" spans="1:18" x14ac:dyDescent="0.25">
      <c r="A7" t="s">
        <v>34</v>
      </c>
      <c r="B7">
        <v>10.571106</v>
      </c>
      <c r="C7">
        <v>6.3490000000000002</v>
      </c>
      <c r="E7">
        <v>71.340668160385206</v>
      </c>
      <c r="F7">
        <v>431602</v>
      </c>
      <c r="G7">
        <v>882.78700000000003</v>
      </c>
      <c r="H7">
        <v>211</v>
      </c>
      <c r="I7" t="s">
        <v>12</v>
      </c>
    </row>
    <row r="8" spans="1:18" x14ac:dyDescent="0.25">
      <c r="A8" t="s">
        <v>35</v>
      </c>
      <c r="B8">
        <v>10.572354000000001</v>
      </c>
      <c r="C8">
        <v>3.44</v>
      </c>
      <c r="E8">
        <v>69.467946359896999</v>
      </c>
      <c r="F8">
        <v>892826</v>
      </c>
      <c r="G8">
        <v>1382.15</v>
      </c>
      <c r="H8">
        <v>205</v>
      </c>
      <c r="I8" t="s">
        <v>12</v>
      </c>
    </row>
    <row r="9" spans="1:18" x14ac:dyDescent="0.25">
      <c r="A9" t="s">
        <v>36</v>
      </c>
      <c r="B9">
        <v>10.57485</v>
      </c>
      <c r="C9">
        <v>2.3039999999999998</v>
      </c>
      <c r="E9">
        <v>50.0083603651807</v>
      </c>
      <c r="F9">
        <v>2747148</v>
      </c>
      <c r="G9">
        <v>3428.78</v>
      </c>
      <c r="H9">
        <v>218</v>
      </c>
      <c r="I9" t="s">
        <v>11</v>
      </c>
    </row>
    <row r="10" spans="1:18" x14ac:dyDescent="0.25">
      <c r="A10" t="s">
        <v>37</v>
      </c>
      <c r="B10">
        <v>10.578593999999999</v>
      </c>
      <c r="C10">
        <v>1.4419999999999999</v>
      </c>
      <c r="E10">
        <v>39.778617530013697</v>
      </c>
      <c r="F10">
        <v>1900508</v>
      </c>
      <c r="G10">
        <v>2054.88</v>
      </c>
      <c r="H10">
        <v>215</v>
      </c>
      <c r="I10" t="s">
        <v>11</v>
      </c>
    </row>
    <row r="11" spans="1:18" x14ac:dyDescent="0.25">
      <c r="A11" t="s">
        <v>38</v>
      </c>
      <c r="B11">
        <v>10.596924</v>
      </c>
      <c r="C11">
        <v>2.3069999999999999</v>
      </c>
      <c r="E11">
        <v>76.718055044644302</v>
      </c>
      <c r="F11">
        <v>2060682</v>
      </c>
      <c r="G11">
        <v>4892.91</v>
      </c>
      <c r="H11">
        <v>213</v>
      </c>
      <c r="I11" t="s">
        <v>12</v>
      </c>
    </row>
    <row r="12" spans="1:18" x14ac:dyDescent="0.25">
      <c r="A12" t="s">
        <v>39</v>
      </c>
      <c r="B12">
        <v>10.656945</v>
      </c>
      <c r="C12">
        <v>3.6429999999999998</v>
      </c>
      <c r="E12">
        <v>29.920074908871999</v>
      </c>
      <c r="F12">
        <v>530892</v>
      </c>
      <c r="G12">
        <v>265.11700000000002</v>
      </c>
      <c r="H12">
        <v>224</v>
      </c>
      <c r="I12" t="s">
        <v>11</v>
      </c>
    </row>
    <row r="13" spans="1:18" x14ac:dyDescent="0.25">
      <c r="A13" t="s">
        <v>40</v>
      </c>
      <c r="B13">
        <v>10.831132</v>
      </c>
      <c r="C13">
        <v>2.6560000000000001</v>
      </c>
      <c r="E13">
        <v>65.56198374745</v>
      </c>
      <c r="F13">
        <v>2689562</v>
      </c>
      <c r="G13">
        <v>3585.17</v>
      </c>
      <c r="H13">
        <v>219</v>
      </c>
      <c r="I13" t="s">
        <v>12</v>
      </c>
    </row>
    <row r="14" spans="1:18" x14ac:dyDescent="0.25">
      <c r="A14" t="s">
        <v>41</v>
      </c>
      <c r="B14">
        <v>11.175151</v>
      </c>
      <c r="C14">
        <v>1.6459999999999999</v>
      </c>
      <c r="E14">
        <v>63.662508778383398</v>
      </c>
      <c r="F14">
        <v>1559500</v>
      </c>
      <c r="G14">
        <v>3073.41</v>
      </c>
      <c r="H14">
        <v>217</v>
      </c>
      <c r="I14" t="s">
        <v>12</v>
      </c>
    </row>
    <row r="15" spans="1:18" ht="15" customHeight="1" x14ac:dyDescent="0.25">
      <c r="A15" t="s">
        <v>42</v>
      </c>
      <c r="B15">
        <v>11.180416000000001</v>
      </c>
      <c r="C15">
        <v>3.8180000000000001</v>
      </c>
      <c r="E15">
        <v>46.389994314951601</v>
      </c>
      <c r="F15">
        <v>1318918</v>
      </c>
      <c r="G15">
        <v>2182.73</v>
      </c>
      <c r="H15">
        <v>212</v>
      </c>
      <c r="I15" t="s">
        <v>11</v>
      </c>
    </row>
    <row r="16" spans="1:18" x14ac:dyDescent="0.25">
      <c r="A16" t="s">
        <v>43</v>
      </c>
      <c r="B16">
        <v>11.184367999999999</v>
      </c>
      <c r="C16">
        <v>1.873</v>
      </c>
      <c r="E16">
        <v>43.467210647761</v>
      </c>
      <c r="F16">
        <v>2425566</v>
      </c>
      <c r="G16">
        <v>3360.45</v>
      </c>
      <c r="H16">
        <v>223</v>
      </c>
      <c r="I16" t="s">
        <v>11</v>
      </c>
    </row>
    <row r="17" spans="1:9" x14ac:dyDescent="0.25">
      <c r="A17" t="s">
        <v>44</v>
      </c>
      <c r="B17">
        <v>11.185681000000001</v>
      </c>
      <c r="C17">
        <v>1.093</v>
      </c>
      <c r="E17">
        <v>49.035213858141297</v>
      </c>
      <c r="F17">
        <v>97464</v>
      </c>
      <c r="G17">
        <v>90.879800000000003</v>
      </c>
      <c r="H17">
        <v>217</v>
      </c>
      <c r="I17" t="s">
        <v>11</v>
      </c>
    </row>
    <row r="18" spans="1:9" x14ac:dyDescent="0.25">
      <c r="A18" t="s">
        <v>45</v>
      </c>
      <c r="B18">
        <v>11.186565</v>
      </c>
      <c r="C18">
        <v>2.786</v>
      </c>
      <c r="E18">
        <v>66.167274186536403</v>
      </c>
      <c r="F18">
        <v>1306134</v>
      </c>
      <c r="G18">
        <v>1697.82</v>
      </c>
      <c r="H18">
        <v>218</v>
      </c>
      <c r="I18" t="s">
        <v>12</v>
      </c>
    </row>
    <row r="19" spans="1:9" x14ac:dyDescent="0.25">
      <c r="A19" t="s">
        <v>46</v>
      </c>
      <c r="B19">
        <v>11.187007000000001</v>
      </c>
      <c r="C19">
        <v>1.7609999999999999</v>
      </c>
      <c r="E19">
        <v>19.7170852422833</v>
      </c>
      <c r="F19">
        <v>595452</v>
      </c>
      <c r="G19">
        <v>353.30500000000001</v>
      </c>
      <c r="H19">
        <v>222</v>
      </c>
      <c r="I19" t="s">
        <v>11</v>
      </c>
    </row>
    <row r="20" spans="1:9" x14ac:dyDescent="0.25">
      <c r="A20" t="s">
        <v>47</v>
      </c>
      <c r="B20">
        <v>11.189204</v>
      </c>
      <c r="C20">
        <v>5.0599999999999996</v>
      </c>
      <c r="E20">
        <v>61.0139450891214</v>
      </c>
      <c r="F20">
        <v>2036120</v>
      </c>
      <c r="G20">
        <v>5234.5200000000004</v>
      </c>
      <c r="H20">
        <v>212</v>
      </c>
      <c r="I20" t="s">
        <v>12</v>
      </c>
    </row>
    <row r="21" spans="1:9" x14ac:dyDescent="0.25">
      <c r="A21" t="s">
        <v>48</v>
      </c>
      <c r="B21">
        <v>11.193156</v>
      </c>
      <c r="C21">
        <v>5.1340000000000003</v>
      </c>
      <c r="E21">
        <v>70.387586529779597</v>
      </c>
      <c r="F21">
        <v>1588566</v>
      </c>
      <c r="G21">
        <v>3914.59</v>
      </c>
      <c r="H21">
        <v>211</v>
      </c>
      <c r="I21" t="s">
        <v>12</v>
      </c>
    </row>
    <row r="22" spans="1:9" x14ac:dyDescent="0.25">
      <c r="A22" t="s">
        <v>49</v>
      </c>
      <c r="B22">
        <v>11.195352999999999</v>
      </c>
      <c r="C22">
        <v>1.359</v>
      </c>
      <c r="E22">
        <v>34.474801859345199</v>
      </c>
      <c r="F22">
        <v>1531714</v>
      </c>
      <c r="G22">
        <v>2201.04</v>
      </c>
      <c r="H22">
        <v>224</v>
      </c>
      <c r="I22" t="s">
        <v>11</v>
      </c>
    </row>
    <row r="23" spans="1:9" x14ac:dyDescent="0.25">
      <c r="A23" t="s">
        <v>50</v>
      </c>
      <c r="B23">
        <v>11.199318</v>
      </c>
      <c r="C23">
        <v>2.4769999999999999</v>
      </c>
      <c r="E23">
        <v>56.987593218071702</v>
      </c>
      <c r="F23">
        <v>2371046</v>
      </c>
      <c r="G23">
        <v>2032.57</v>
      </c>
      <c r="H23">
        <v>216</v>
      </c>
      <c r="I23" t="s">
        <v>11</v>
      </c>
    </row>
    <row r="24" spans="1:9" x14ac:dyDescent="0.25">
      <c r="A24" t="s">
        <v>51</v>
      </c>
      <c r="B24">
        <v>11.201514999999999</v>
      </c>
      <c r="C24">
        <v>2.0209999999999999</v>
      </c>
      <c r="E24">
        <v>59.462261311573997</v>
      </c>
      <c r="F24">
        <v>2162120</v>
      </c>
      <c r="G24">
        <v>3378.86</v>
      </c>
      <c r="H24">
        <v>220</v>
      </c>
      <c r="I24" t="s">
        <v>11</v>
      </c>
    </row>
    <row r="25" spans="1:9" x14ac:dyDescent="0.25">
      <c r="A25" t="s">
        <v>52</v>
      </c>
      <c r="B25">
        <v>11.202840999999999</v>
      </c>
      <c r="C25">
        <v>1.1559999999999999</v>
      </c>
      <c r="E25">
        <v>55.5830518677055</v>
      </c>
      <c r="F25">
        <v>1372150</v>
      </c>
      <c r="G25">
        <v>2311.04</v>
      </c>
      <c r="H25">
        <v>217</v>
      </c>
      <c r="I25" t="s">
        <v>11</v>
      </c>
    </row>
    <row r="26" spans="1:9" x14ac:dyDescent="0.25">
      <c r="A26" t="s">
        <v>53</v>
      </c>
      <c r="B26">
        <v>11.209458</v>
      </c>
      <c r="C26">
        <v>1.7450000000000001</v>
      </c>
      <c r="E26">
        <v>51.456375614486802</v>
      </c>
      <c r="F26">
        <v>2048866</v>
      </c>
      <c r="G26">
        <v>1428.65</v>
      </c>
      <c r="H26">
        <v>219</v>
      </c>
      <c r="I26" t="s">
        <v>11</v>
      </c>
    </row>
    <row r="27" spans="1:9" x14ac:dyDescent="0.25">
      <c r="A27" t="s">
        <v>54</v>
      </c>
      <c r="B27">
        <v>11.209458</v>
      </c>
      <c r="C27">
        <v>7.2759999999999998</v>
      </c>
      <c r="E27">
        <v>54.860716316088599</v>
      </c>
      <c r="F27">
        <v>282086</v>
      </c>
      <c r="G27">
        <v>452.95699999999999</v>
      </c>
      <c r="H27">
        <v>211</v>
      </c>
      <c r="I27" t="s">
        <v>11</v>
      </c>
    </row>
    <row r="28" spans="1:9" x14ac:dyDescent="0.25">
      <c r="A28" t="s">
        <v>55</v>
      </c>
      <c r="B28">
        <v>11.212539</v>
      </c>
      <c r="C28">
        <v>2.6320000000000001</v>
      </c>
      <c r="E28">
        <v>70.397618967996493</v>
      </c>
      <c r="F28">
        <v>1338338</v>
      </c>
      <c r="G28">
        <v>3237.03</v>
      </c>
      <c r="H28">
        <v>210</v>
      </c>
      <c r="I28" t="s">
        <v>12</v>
      </c>
    </row>
    <row r="29" spans="1:9" x14ac:dyDescent="0.25">
      <c r="A29" t="s">
        <v>56</v>
      </c>
      <c r="B29">
        <v>11.216517000000001</v>
      </c>
      <c r="C29">
        <v>2.4590000000000001</v>
      </c>
      <c r="E29">
        <v>39.902350934688798</v>
      </c>
      <c r="F29">
        <v>1195096</v>
      </c>
      <c r="G29">
        <v>1139.44</v>
      </c>
      <c r="H29">
        <v>216</v>
      </c>
      <c r="I29" t="s">
        <v>11</v>
      </c>
    </row>
    <row r="30" spans="1:9" x14ac:dyDescent="0.25">
      <c r="A30" t="s">
        <v>57</v>
      </c>
      <c r="B30">
        <v>11.224473</v>
      </c>
      <c r="C30">
        <v>1.1759999999999999</v>
      </c>
      <c r="E30">
        <v>54.807209978931802</v>
      </c>
      <c r="F30">
        <v>1034738</v>
      </c>
      <c r="G30">
        <v>2425.12</v>
      </c>
      <c r="H30">
        <v>210</v>
      </c>
      <c r="I30" t="s">
        <v>11</v>
      </c>
    </row>
    <row r="31" spans="1:9" x14ac:dyDescent="0.25">
      <c r="A31" t="s">
        <v>58</v>
      </c>
      <c r="B31">
        <v>11.231999999999999</v>
      </c>
      <c r="C31">
        <v>3.706</v>
      </c>
      <c r="E31">
        <v>69.498043674547702</v>
      </c>
      <c r="F31">
        <v>998050</v>
      </c>
      <c r="G31">
        <v>2045.65</v>
      </c>
      <c r="H31">
        <v>210</v>
      </c>
      <c r="I31" t="s">
        <v>12</v>
      </c>
    </row>
    <row r="32" spans="1:9" x14ac:dyDescent="0.25">
      <c r="A32" t="s">
        <v>59</v>
      </c>
      <c r="B32">
        <v>11.393265</v>
      </c>
      <c r="C32">
        <v>1.5349999999999999</v>
      </c>
      <c r="E32">
        <v>27.589205096478601</v>
      </c>
      <c r="F32">
        <v>581996</v>
      </c>
      <c r="G32">
        <v>336.60599999999999</v>
      </c>
      <c r="H32">
        <v>222</v>
      </c>
      <c r="I32" t="s">
        <v>11</v>
      </c>
    </row>
    <row r="33" spans="1:9" x14ac:dyDescent="0.25">
      <c r="A33" t="s">
        <v>60</v>
      </c>
      <c r="B33">
        <v>11.796226000000001</v>
      </c>
      <c r="C33">
        <v>1.7689999999999999</v>
      </c>
      <c r="E33">
        <v>63.368223924021002</v>
      </c>
      <c r="F33">
        <v>2732448</v>
      </c>
      <c r="G33">
        <v>4264.96</v>
      </c>
      <c r="H33">
        <v>215</v>
      </c>
      <c r="I33" t="s">
        <v>12</v>
      </c>
    </row>
    <row r="34" spans="1:9" x14ac:dyDescent="0.25">
      <c r="A34" t="s">
        <v>61</v>
      </c>
      <c r="B34">
        <v>11.810590999999999</v>
      </c>
      <c r="C34">
        <v>1.2649999999999999</v>
      </c>
      <c r="E34">
        <v>49.423134802528097</v>
      </c>
      <c r="F34">
        <v>2316622</v>
      </c>
      <c r="G34">
        <v>4387.97</v>
      </c>
      <c r="H34">
        <v>221</v>
      </c>
      <c r="I34" t="s">
        <v>11</v>
      </c>
    </row>
    <row r="35" spans="1:9" x14ac:dyDescent="0.25">
      <c r="A35" t="s">
        <v>62</v>
      </c>
      <c r="B35">
        <v>11.815232</v>
      </c>
      <c r="C35">
        <v>0.02</v>
      </c>
      <c r="E35">
        <v>90.803598301173693</v>
      </c>
      <c r="F35">
        <v>1342232</v>
      </c>
      <c r="G35">
        <v>3619</v>
      </c>
      <c r="H35">
        <v>207</v>
      </c>
      <c r="I35" t="s">
        <v>10</v>
      </c>
    </row>
    <row r="36" spans="1:9" x14ac:dyDescent="0.25">
      <c r="A36" t="s">
        <v>63</v>
      </c>
      <c r="B36">
        <v>11.816623</v>
      </c>
      <c r="C36">
        <v>2.048</v>
      </c>
      <c r="E36">
        <v>69.4512256295355</v>
      </c>
      <c r="F36">
        <v>1090706</v>
      </c>
      <c r="G36">
        <v>2668.94</v>
      </c>
      <c r="H36">
        <v>204</v>
      </c>
      <c r="I36" t="s">
        <v>12</v>
      </c>
    </row>
    <row r="37" spans="1:9" x14ac:dyDescent="0.25">
      <c r="A37" t="s">
        <v>64</v>
      </c>
      <c r="B37">
        <v>11.816623</v>
      </c>
      <c r="C37">
        <v>4.1180000000000003</v>
      </c>
      <c r="E37">
        <v>90.773500986523004</v>
      </c>
      <c r="F37">
        <v>1329216</v>
      </c>
      <c r="G37">
        <v>3248.27</v>
      </c>
      <c r="H37">
        <v>206</v>
      </c>
      <c r="I37" t="s">
        <v>10</v>
      </c>
    </row>
    <row r="38" spans="1:9" x14ac:dyDescent="0.25">
      <c r="A38" t="s">
        <v>65</v>
      </c>
      <c r="B38">
        <v>11.817091</v>
      </c>
      <c r="C38">
        <v>3.2320000000000002</v>
      </c>
      <c r="E38">
        <v>43.3033474902183</v>
      </c>
      <c r="F38">
        <v>1802432</v>
      </c>
      <c r="G38">
        <v>1640.12</v>
      </c>
      <c r="H38">
        <v>213</v>
      </c>
      <c r="I38" t="s">
        <v>11</v>
      </c>
    </row>
    <row r="39" spans="1:9" x14ac:dyDescent="0.25">
      <c r="A39" t="s">
        <v>66</v>
      </c>
      <c r="B39">
        <v>11.820809000000001</v>
      </c>
      <c r="C39">
        <v>1.2809999999999999</v>
      </c>
      <c r="E39">
        <v>55.124903855800397</v>
      </c>
      <c r="F39">
        <v>1070968</v>
      </c>
      <c r="G39">
        <v>1967.81</v>
      </c>
      <c r="H39">
        <v>224</v>
      </c>
      <c r="I39" t="s">
        <v>11</v>
      </c>
    </row>
    <row r="40" spans="1:9" x14ac:dyDescent="0.25">
      <c r="A40" t="s">
        <v>67</v>
      </c>
      <c r="B40">
        <v>11.821277</v>
      </c>
      <c r="C40">
        <v>2.2050000000000001</v>
      </c>
      <c r="E40">
        <v>41.758352004815499</v>
      </c>
      <c r="F40">
        <v>2645254</v>
      </c>
      <c r="G40">
        <v>3097.36</v>
      </c>
      <c r="H40">
        <v>223</v>
      </c>
      <c r="I40" t="s">
        <v>11</v>
      </c>
    </row>
    <row r="41" spans="1:9" x14ac:dyDescent="0.25">
      <c r="A41" t="s">
        <v>68</v>
      </c>
      <c r="B41">
        <v>11.824059</v>
      </c>
      <c r="C41">
        <v>0.89100000000000001</v>
      </c>
      <c r="E41">
        <v>41.935591746647397</v>
      </c>
      <c r="F41">
        <v>104470</v>
      </c>
      <c r="G41">
        <v>140.732</v>
      </c>
      <c r="H41">
        <v>224</v>
      </c>
      <c r="I41" t="s">
        <v>11</v>
      </c>
    </row>
    <row r="42" spans="1:9" x14ac:dyDescent="0.25">
      <c r="A42" t="s">
        <v>69</v>
      </c>
      <c r="B42">
        <v>11.824527</v>
      </c>
      <c r="C42">
        <v>1.8360000000000001</v>
      </c>
      <c r="E42">
        <v>41.219944487175198</v>
      </c>
      <c r="F42">
        <v>1457722</v>
      </c>
      <c r="G42">
        <v>1456.85</v>
      </c>
      <c r="H42">
        <v>215</v>
      </c>
      <c r="I42" t="s">
        <v>11</v>
      </c>
    </row>
    <row r="43" spans="1:9" x14ac:dyDescent="0.25">
      <c r="A43" t="s">
        <v>70</v>
      </c>
      <c r="B43">
        <v>11.849227000000001</v>
      </c>
      <c r="C43">
        <v>1.153</v>
      </c>
      <c r="E43">
        <v>63.157542721466001</v>
      </c>
      <c r="F43">
        <v>2052272</v>
      </c>
      <c r="G43">
        <v>4358.29</v>
      </c>
      <c r="H43">
        <v>221</v>
      </c>
      <c r="I43" t="s">
        <v>12</v>
      </c>
    </row>
    <row r="44" spans="1:9" x14ac:dyDescent="0.25">
      <c r="A44" t="s">
        <v>71</v>
      </c>
      <c r="B44">
        <v>11.870742</v>
      </c>
      <c r="C44">
        <v>2.097</v>
      </c>
      <c r="E44">
        <v>70.645085777346694</v>
      </c>
      <c r="F44">
        <v>1280638</v>
      </c>
      <c r="G44">
        <v>1530.93</v>
      </c>
      <c r="H44">
        <v>217</v>
      </c>
      <c r="I44" t="s">
        <v>12</v>
      </c>
    </row>
    <row r="45" spans="1:9" x14ac:dyDescent="0.25">
      <c r="A45" t="s">
        <v>72</v>
      </c>
      <c r="B45">
        <v>11.874954000000001</v>
      </c>
      <c r="C45">
        <v>1.008</v>
      </c>
      <c r="E45">
        <v>22.7201284152091</v>
      </c>
      <c r="F45">
        <v>891516</v>
      </c>
      <c r="G45">
        <v>1004.6</v>
      </c>
      <c r="H45">
        <v>222</v>
      </c>
      <c r="I45" t="s">
        <v>11</v>
      </c>
    </row>
    <row r="46" spans="1:9" x14ac:dyDescent="0.25">
      <c r="A46" t="s">
        <v>73</v>
      </c>
      <c r="B46">
        <v>11.911171999999999</v>
      </c>
      <c r="C46">
        <v>4.556</v>
      </c>
      <c r="E46">
        <v>48.429923419054902</v>
      </c>
      <c r="F46">
        <v>948390</v>
      </c>
      <c r="G46">
        <v>1398.08</v>
      </c>
      <c r="H46">
        <v>212</v>
      </c>
      <c r="I46" t="s">
        <v>11</v>
      </c>
    </row>
    <row r="47" spans="1:9" x14ac:dyDescent="0.25">
      <c r="A47" t="s">
        <v>74</v>
      </c>
      <c r="B47">
        <v>12.095642</v>
      </c>
      <c r="C47">
        <v>1.085</v>
      </c>
      <c r="E47">
        <v>42.651239006119702</v>
      </c>
      <c r="F47">
        <v>1197232</v>
      </c>
      <c r="G47">
        <v>2118.66</v>
      </c>
      <c r="H47">
        <v>221</v>
      </c>
      <c r="I47" t="s">
        <v>11</v>
      </c>
    </row>
    <row r="48" spans="1:9" x14ac:dyDescent="0.25">
      <c r="A48" t="s">
        <v>75</v>
      </c>
      <c r="B48">
        <v>12.121395</v>
      </c>
      <c r="C48">
        <v>1.8540000000000001</v>
      </c>
      <c r="E48">
        <v>53.673544460422001</v>
      </c>
      <c r="F48">
        <v>1861686</v>
      </c>
      <c r="G48">
        <v>2463.5700000000002</v>
      </c>
      <c r="H48">
        <v>217</v>
      </c>
      <c r="I48" t="s">
        <v>11</v>
      </c>
    </row>
    <row r="49" spans="1:9" x14ac:dyDescent="0.25">
      <c r="A49" t="s">
        <v>76</v>
      </c>
      <c r="B49">
        <v>12.417327</v>
      </c>
      <c r="C49">
        <v>2.6280000000000001</v>
      </c>
      <c r="E49">
        <v>36.855833862823097</v>
      </c>
      <c r="F49">
        <v>529776</v>
      </c>
      <c r="G49">
        <v>391.92700000000002</v>
      </c>
      <c r="H49">
        <v>224</v>
      </c>
      <c r="I49" t="s">
        <v>11</v>
      </c>
    </row>
    <row r="50" spans="1:9" x14ac:dyDescent="0.25">
      <c r="A50" t="s">
        <v>77</v>
      </c>
      <c r="B50">
        <v>12.424633</v>
      </c>
      <c r="C50">
        <v>1.9890000000000001</v>
      </c>
      <c r="E50">
        <v>47.463465204160102</v>
      </c>
      <c r="F50">
        <v>1662032</v>
      </c>
      <c r="G50">
        <v>1548.43</v>
      </c>
      <c r="H50">
        <v>217</v>
      </c>
      <c r="I50" t="s">
        <v>11</v>
      </c>
    </row>
    <row r="51" spans="1:9" x14ac:dyDescent="0.25">
      <c r="A51" t="s">
        <v>78</v>
      </c>
      <c r="B51">
        <v>12.428545999999999</v>
      </c>
      <c r="C51">
        <v>2.6150000000000002</v>
      </c>
      <c r="E51">
        <v>61.742968932882903</v>
      </c>
      <c r="F51">
        <v>3472228</v>
      </c>
      <c r="G51">
        <v>5142.84</v>
      </c>
      <c r="H51">
        <v>216</v>
      </c>
      <c r="I51" t="s">
        <v>12</v>
      </c>
    </row>
    <row r="52" spans="1:9" x14ac:dyDescent="0.25">
      <c r="A52" t="s">
        <v>79</v>
      </c>
      <c r="B52">
        <v>12.433915000000001</v>
      </c>
      <c r="C52">
        <v>1.6970000000000001</v>
      </c>
      <c r="E52">
        <v>31.541985753937698</v>
      </c>
      <c r="F52">
        <v>1276756</v>
      </c>
      <c r="G52">
        <v>934.15499999999997</v>
      </c>
      <c r="H52">
        <v>221</v>
      </c>
      <c r="I52" t="s">
        <v>11</v>
      </c>
    </row>
    <row r="53" spans="1:9" x14ac:dyDescent="0.25">
      <c r="A53" t="s">
        <v>80</v>
      </c>
      <c r="B53">
        <v>12.440258999999999</v>
      </c>
      <c r="C53">
        <v>2.2610000000000001</v>
      </c>
      <c r="E53">
        <v>60.0474868742266</v>
      </c>
      <c r="F53">
        <v>1708396</v>
      </c>
      <c r="G53">
        <v>3766.12</v>
      </c>
      <c r="H53">
        <v>213</v>
      </c>
      <c r="I53" t="s">
        <v>12</v>
      </c>
    </row>
    <row r="54" spans="1:9" x14ac:dyDescent="0.25">
      <c r="A54" t="s">
        <v>81</v>
      </c>
      <c r="B54">
        <v>12.446629</v>
      </c>
      <c r="C54">
        <v>1.109</v>
      </c>
      <c r="E54">
        <v>32.882988328930203</v>
      </c>
      <c r="F54">
        <v>2145270</v>
      </c>
      <c r="G54">
        <v>2162.7199999999998</v>
      </c>
      <c r="H54">
        <v>215</v>
      </c>
      <c r="I54" t="s">
        <v>11</v>
      </c>
    </row>
    <row r="55" spans="1:9" x14ac:dyDescent="0.25">
      <c r="A55" t="s">
        <v>82</v>
      </c>
      <c r="B55">
        <v>12.449567</v>
      </c>
      <c r="C55">
        <v>1.679</v>
      </c>
      <c r="E55">
        <v>50.964786141858603</v>
      </c>
      <c r="F55">
        <v>955388</v>
      </c>
      <c r="G55">
        <v>1520.29</v>
      </c>
      <c r="H55">
        <v>224</v>
      </c>
      <c r="I55" t="s">
        <v>11</v>
      </c>
    </row>
    <row r="56" spans="1:9" x14ac:dyDescent="0.25">
      <c r="A56" t="s">
        <v>83</v>
      </c>
      <c r="B56">
        <v>12.456417999999999</v>
      </c>
      <c r="C56">
        <v>2.6789999999999998</v>
      </c>
      <c r="E56">
        <v>60.806608032638799</v>
      </c>
      <c r="F56">
        <v>1537278</v>
      </c>
      <c r="G56">
        <v>3188.26</v>
      </c>
      <c r="H56">
        <v>213</v>
      </c>
      <c r="I56" t="s">
        <v>12</v>
      </c>
    </row>
    <row r="57" spans="1:9" x14ac:dyDescent="0.25">
      <c r="A57" t="s">
        <v>84</v>
      </c>
      <c r="B57">
        <v>12.537330000000001</v>
      </c>
      <c r="C57">
        <v>1.4319999999999999</v>
      </c>
      <c r="E57">
        <v>76.510717988161701</v>
      </c>
      <c r="F57">
        <v>797516</v>
      </c>
      <c r="G57">
        <v>1176.21</v>
      </c>
      <c r="H57">
        <v>213</v>
      </c>
      <c r="I57" t="s">
        <v>12</v>
      </c>
    </row>
    <row r="58" spans="1:9" x14ac:dyDescent="0.25">
      <c r="A58" t="s">
        <v>85</v>
      </c>
      <c r="B58">
        <v>12.543296999999999</v>
      </c>
      <c r="C58">
        <v>1.2989999999999999</v>
      </c>
      <c r="E58">
        <v>28.993746446844799</v>
      </c>
      <c r="F58">
        <v>772228</v>
      </c>
      <c r="G58">
        <v>860.25400000000002</v>
      </c>
      <c r="H58">
        <v>222</v>
      </c>
      <c r="I58" t="s">
        <v>11</v>
      </c>
    </row>
    <row r="59" spans="1:9" x14ac:dyDescent="0.25">
      <c r="A59" t="s">
        <v>86</v>
      </c>
      <c r="B59">
        <v>13.039988000000001</v>
      </c>
      <c r="C59">
        <v>1.117</v>
      </c>
      <c r="E59">
        <v>37.962746212754503</v>
      </c>
      <c r="F59">
        <v>1188170</v>
      </c>
      <c r="G59">
        <v>1697.1</v>
      </c>
      <c r="H59">
        <v>224</v>
      </c>
      <c r="I59" t="s">
        <v>11</v>
      </c>
    </row>
    <row r="60" spans="1:9" x14ac:dyDescent="0.25">
      <c r="A60" t="s">
        <v>87</v>
      </c>
      <c r="B60">
        <v>13.047657999999998</v>
      </c>
      <c r="C60">
        <v>0.55900000000000005</v>
      </c>
      <c r="E60">
        <v>4.5848242651239</v>
      </c>
      <c r="F60">
        <v>301514</v>
      </c>
      <c r="G60">
        <v>238.214</v>
      </c>
      <c r="H60">
        <v>208</v>
      </c>
      <c r="I60" t="s">
        <v>11</v>
      </c>
    </row>
    <row r="61" spans="1:9" x14ac:dyDescent="0.25">
      <c r="A61" t="s">
        <v>88</v>
      </c>
      <c r="B61">
        <v>13.052793000000001</v>
      </c>
      <c r="C61">
        <v>1.4830000000000001</v>
      </c>
      <c r="E61">
        <v>30.354813898271001</v>
      </c>
      <c r="F61">
        <v>649696</v>
      </c>
      <c r="G61">
        <v>717.61599999999999</v>
      </c>
      <c r="H61">
        <v>222</v>
      </c>
      <c r="I61" t="s">
        <v>11</v>
      </c>
    </row>
    <row r="62" spans="1:9" x14ac:dyDescent="0.25">
      <c r="A62" t="s">
        <v>89</v>
      </c>
      <c r="B62">
        <v>13.053806999999999</v>
      </c>
      <c r="C62">
        <v>2.0190000000000001</v>
      </c>
      <c r="E62">
        <v>55.6867203959468</v>
      </c>
      <c r="F62">
        <v>731322</v>
      </c>
      <c r="G62">
        <v>922.61800000000005</v>
      </c>
      <c r="H62">
        <v>217</v>
      </c>
      <c r="I62" t="s">
        <v>11</v>
      </c>
    </row>
    <row r="63" spans="1:9" x14ac:dyDescent="0.25">
      <c r="A63" t="s">
        <v>90</v>
      </c>
      <c r="B63">
        <v>13.054834000000001</v>
      </c>
      <c r="C63">
        <v>1.863</v>
      </c>
      <c r="E63">
        <v>62.137578169414397</v>
      </c>
      <c r="F63">
        <v>2308010</v>
      </c>
      <c r="G63">
        <v>4067.47</v>
      </c>
      <c r="H63">
        <v>221</v>
      </c>
      <c r="I63" t="s">
        <v>12</v>
      </c>
    </row>
    <row r="64" spans="1:9" x14ac:dyDescent="0.25">
      <c r="A64" t="s">
        <v>91</v>
      </c>
      <c r="B64">
        <v>13.059448999999999</v>
      </c>
      <c r="C64">
        <v>3.0419999999999998</v>
      </c>
      <c r="E64">
        <v>76.420426044209606</v>
      </c>
      <c r="F64">
        <v>1596172</v>
      </c>
      <c r="G64">
        <v>2274.9699999999998</v>
      </c>
      <c r="H64">
        <v>215</v>
      </c>
      <c r="I64" t="s">
        <v>12</v>
      </c>
    </row>
    <row r="65" spans="1:9" x14ac:dyDescent="0.25">
      <c r="A65" t="s">
        <v>92</v>
      </c>
      <c r="B65">
        <v>13.069731999999998</v>
      </c>
      <c r="C65">
        <v>3.56</v>
      </c>
      <c r="E65">
        <v>86.981239340534401</v>
      </c>
      <c r="F65">
        <v>1143990</v>
      </c>
      <c r="G65">
        <v>3221.72</v>
      </c>
      <c r="H65">
        <v>208</v>
      </c>
      <c r="I65" t="s">
        <v>12</v>
      </c>
    </row>
    <row r="66" spans="1:9" x14ac:dyDescent="0.25">
      <c r="A66" t="s">
        <v>93</v>
      </c>
      <c r="B66">
        <v>13.071266</v>
      </c>
      <c r="C66">
        <v>2.5419999999999998</v>
      </c>
      <c r="E66">
        <v>37.2537872454268</v>
      </c>
      <c r="F66">
        <v>884714</v>
      </c>
      <c r="G66">
        <v>1608.32</v>
      </c>
      <c r="H66">
        <v>202</v>
      </c>
      <c r="I66" t="s">
        <v>11</v>
      </c>
    </row>
    <row r="67" spans="1:9" x14ac:dyDescent="0.25">
      <c r="A67" t="s">
        <v>94</v>
      </c>
      <c r="B67">
        <v>13.126503</v>
      </c>
      <c r="C67">
        <v>1.3340000000000001</v>
      </c>
      <c r="E67">
        <v>42.025883690599599</v>
      </c>
      <c r="F67">
        <v>1245972</v>
      </c>
      <c r="G67">
        <v>1906.02</v>
      </c>
      <c r="H67">
        <v>224</v>
      </c>
      <c r="I67" t="s">
        <v>11</v>
      </c>
    </row>
    <row r="68" spans="1:9" x14ac:dyDescent="0.25">
      <c r="A68" t="s">
        <v>95</v>
      </c>
      <c r="B68">
        <v>13.128063000000001</v>
      </c>
      <c r="C68">
        <v>2.8290000000000002</v>
      </c>
      <c r="E68">
        <v>64.899842825134598</v>
      </c>
      <c r="F68">
        <v>1680462</v>
      </c>
      <c r="G68">
        <v>1356.4</v>
      </c>
      <c r="H68">
        <v>220</v>
      </c>
      <c r="I68" t="s">
        <v>12</v>
      </c>
    </row>
    <row r="69" spans="1:9" x14ac:dyDescent="0.25">
      <c r="A69" t="s">
        <v>96</v>
      </c>
      <c r="B69">
        <v>13.13273</v>
      </c>
      <c r="C69">
        <v>1.1040000000000001</v>
      </c>
      <c r="E69">
        <v>30.809617764103901</v>
      </c>
      <c r="F69">
        <v>1747018</v>
      </c>
      <c r="G69">
        <v>2031.38</v>
      </c>
      <c r="H69">
        <v>224</v>
      </c>
      <c r="I69" t="s">
        <v>11</v>
      </c>
    </row>
    <row r="70" spans="1:9" x14ac:dyDescent="0.25">
      <c r="A70" t="s">
        <v>97</v>
      </c>
      <c r="B70">
        <v>13.54275</v>
      </c>
      <c r="C70">
        <v>3.294</v>
      </c>
      <c r="E70">
        <v>86.921044711232895</v>
      </c>
      <c r="F70">
        <v>2567484</v>
      </c>
      <c r="G70">
        <v>7440.9</v>
      </c>
      <c r="H70">
        <v>209</v>
      </c>
      <c r="I70" t="s">
        <v>12</v>
      </c>
    </row>
    <row r="71" spans="1:9" x14ac:dyDescent="0.25">
      <c r="A71" t="s">
        <v>98</v>
      </c>
      <c r="B71">
        <v>13.662272000000002</v>
      </c>
      <c r="C71">
        <v>3.6549999999999998</v>
      </c>
      <c r="E71">
        <v>53.191987426010698</v>
      </c>
      <c r="F71">
        <v>2493948</v>
      </c>
      <c r="G71">
        <v>5347.98</v>
      </c>
      <c r="H71">
        <v>212</v>
      </c>
      <c r="I71" t="s">
        <v>11</v>
      </c>
    </row>
    <row r="72" spans="1:9" x14ac:dyDescent="0.25">
      <c r="A72" t="s">
        <v>99</v>
      </c>
      <c r="B72">
        <v>13.663883999999999</v>
      </c>
      <c r="C72">
        <v>1.504</v>
      </c>
      <c r="E72">
        <v>51.228973681570402</v>
      </c>
      <c r="F72">
        <v>2420258</v>
      </c>
      <c r="G72">
        <v>4055.54</v>
      </c>
      <c r="H72">
        <v>215</v>
      </c>
      <c r="I72" t="s">
        <v>11</v>
      </c>
    </row>
    <row r="73" spans="1:9" x14ac:dyDescent="0.25">
      <c r="A73" t="s">
        <v>100</v>
      </c>
      <c r="B73">
        <v>13.664963</v>
      </c>
      <c r="C73">
        <v>1.9390000000000001</v>
      </c>
      <c r="E73">
        <v>66.398020265525204</v>
      </c>
      <c r="F73">
        <v>1719858</v>
      </c>
      <c r="G73">
        <v>3559.72</v>
      </c>
      <c r="H73">
        <v>213</v>
      </c>
      <c r="I73" t="s">
        <v>12</v>
      </c>
    </row>
    <row r="74" spans="1:9" x14ac:dyDescent="0.25">
      <c r="A74" t="s">
        <v>101</v>
      </c>
      <c r="B74">
        <v>13.670864999999999</v>
      </c>
      <c r="C74">
        <v>1.466</v>
      </c>
      <c r="E74">
        <v>33.418051700498197</v>
      </c>
      <c r="F74">
        <v>1187970</v>
      </c>
      <c r="G74">
        <v>1540.39</v>
      </c>
      <c r="H74">
        <v>221</v>
      </c>
      <c r="I74" t="s">
        <v>11</v>
      </c>
    </row>
    <row r="75" spans="1:9" x14ac:dyDescent="0.25">
      <c r="A75" t="s">
        <v>102</v>
      </c>
      <c r="B75">
        <v>13.676233999999999</v>
      </c>
      <c r="C75">
        <v>2.4820000000000002</v>
      </c>
      <c r="E75">
        <v>35.163695950239102</v>
      </c>
      <c r="F75">
        <v>1044504</v>
      </c>
      <c r="G75">
        <v>732.08600000000001</v>
      </c>
      <c r="H75">
        <v>217</v>
      </c>
      <c r="I75" t="s">
        <v>11</v>
      </c>
    </row>
    <row r="76" spans="1:9" x14ac:dyDescent="0.25">
      <c r="A76" t="s">
        <v>103</v>
      </c>
      <c r="B76">
        <v>13.681602999999999</v>
      </c>
      <c r="C76">
        <v>2.4409999999999998</v>
      </c>
      <c r="E76">
        <v>63.321405879008701</v>
      </c>
      <c r="F76">
        <v>1864272</v>
      </c>
      <c r="G76">
        <v>1977.31</v>
      </c>
      <c r="H76">
        <v>216</v>
      </c>
      <c r="I76" t="s">
        <v>12</v>
      </c>
    </row>
    <row r="77" spans="1:9" x14ac:dyDescent="0.25">
      <c r="A77" t="s">
        <v>104</v>
      </c>
      <c r="B77">
        <v>13.683748000000001</v>
      </c>
      <c r="C77">
        <v>2.1190000000000002</v>
      </c>
      <c r="E77">
        <v>61.813196000401298</v>
      </c>
      <c r="F77">
        <v>2698418</v>
      </c>
      <c r="G77">
        <v>1206.71</v>
      </c>
      <c r="H77">
        <v>215</v>
      </c>
      <c r="I77" t="s">
        <v>12</v>
      </c>
    </row>
    <row r="78" spans="1:9" x14ac:dyDescent="0.25">
      <c r="A78" t="s">
        <v>105</v>
      </c>
      <c r="B78">
        <v>13.683748000000001</v>
      </c>
      <c r="C78">
        <v>2.2029999999999998</v>
      </c>
      <c r="E78">
        <v>51.145370029762901</v>
      </c>
      <c r="F78">
        <v>1210244</v>
      </c>
      <c r="G78">
        <v>1382.62</v>
      </c>
      <c r="H78">
        <v>217</v>
      </c>
      <c r="I78" t="s">
        <v>11</v>
      </c>
    </row>
    <row r="79" spans="1:9" x14ac:dyDescent="0.25">
      <c r="A79" t="s">
        <v>106</v>
      </c>
      <c r="B79">
        <v>13.68913</v>
      </c>
      <c r="C79">
        <v>2.2269999999999999</v>
      </c>
      <c r="E79">
        <v>84.680466842791603</v>
      </c>
      <c r="F79">
        <v>2104476</v>
      </c>
      <c r="G79">
        <v>5586.55</v>
      </c>
      <c r="H79">
        <v>210</v>
      </c>
      <c r="I79" t="s">
        <v>12</v>
      </c>
    </row>
    <row r="80" spans="1:9" x14ac:dyDescent="0.25">
      <c r="A80" t="s">
        <v>107</v>
      </c>
      <c r="B80">
        <v>13.690209000000001</v>
      </c>
      <c r="C80">
        <v>1.915</v>
      </c>
      <c r="E80">
        <v>51.670400963113998</v>
      </c>
      <c r="F80">
        <v>1623058</v>
      </c>
      <c r="G80">
        <v>3039.32</v>
      </c>
      <c r="H80">
        <v>224</v>
      </c>
      <c r="I80" t="s">
        <v>11</v>
      </c>
    </row>
    <row r="81" spans="1:9" x14ac:dyDescent="0.25">
      <c r="A81" t="s">
        <v>108</v>
      </c>
      <c r="B81">
        <v>13.691821000000001</v>
      </c>
      <c r="C81">
        <v>2.56</v>
      </c>
      <c r="E81">
        <v>80.319700364511903</v>
      </c>
      <c r="F81">
        <v>1411520</v>
      </c>
      <c r="G81">
        <v>3504.84</v>
      </c>
      <c r="H81">
        <v>213</v>
      </c>
      <c r="I81" t="s">
        <v>12</v>
      </c>
    </row>
    <row r="82" spans="1:9" x14ac:dyDescent="0.25">
      <c r="A82" t="s">
        <v>109</v>
      </c>
      <c r="B82">
        <v>13.750763000000001</v>
      </c>
      <c r="C82">
        <v>2.5750000000000002</v>
      </c>
      <c r="E82">
        <v>65.575360331739205</v>
      </c>
      <c r="F82">
        <v>1132496</v>
      </c>
      <c r="G82">
        <v>2044.02</v>
      </c>
      <c r="H82">
        <v>214</v>
      </c>
      <c r="I82" t="s">
        <v>12</v>
      </c>
    </row>
    <row r="83" spans="1:9" x14ac:dyDescent="0.25">
      <c r="A83" t="s">
        <v>110</v>
      </c>
      <c r="B83">
        <v>13.884</v>
      </c>
      <c r="C83">
        <v>4.7590000000000003</v>
      </c>
      <c r="E83">
        <v>80.928334949670599</v>
      </c>
      <c r="F83">
        <v>881314</v>
      </c>
      <c r="G83">
        <v>1981.62</v>
      </c>
      <c r="H83">
        <v>201</v>
      </c>
      <c r="I83" t="s">
        <v>12</v>
      </c>
    </row>
    <row r="84" spans="1:9" x14ac:dyDescent="0.25">
      <c r="A84" t="s">
        <v>111</v>
      </c>
      <c r="B84">
        <v>14.072863999999999</v>
      </c>
      <c r="C84">
        <v>1.1950000000000001</v>
      </c>
      <c r="E84">
        <v>36.203725378724499</v>
      </c>
      <c r="F84">
        <v>1117152</v>
      </c>
      <c r="G84">
        <v>985.29499999999996</v>
      </c>
      <c r="H84">
        <v>221</v>
      </c>
      <c r="I84" t="s">
        <v>11</v>
      </c>
    </row>
    <row r="85" spans="1:9" x14ac:dyDescent="0.25">
      <c r="A85" t="s">
        <v>112</v>
      </c>
      <c r="B85">
        <v>14.086215000000001</v>
      </c>
      <c r="C85">
        <v>1.6</v>
      </c>
      <c r="E85">
        <v>40.862120857439002</v>
      </c>
      <c r="F85">
        <v>209322</v>
      </c>
      <c r="G85">
        <v>181.07400000000001</v>
      </c>
      <c r="H85">
        <v>209</v>
      </c>
      <c r="I85" t="s">
        <v>11</v>
      </c>
    </row>
    <row r="86" spans="1:9" x14ac:dyDescent="0.25">
      <c r="A86" t="s">
        <v>113</v>
      </c>
      <c r="B86">
        <v>14.141335000000002</v>
      </c>
      <c r="C86">
        <v>2.1789999999999998</v>
      </c>
      <c r="E86">
        <v>57.469150252482997</v>
      </c>
      <c r="F86">
        <v>1347920</v>
      </c>
      <c r="G86">
        <v>1899.27</v>
      </c>
      <c r="H86">
        <v>217</v>
      </c>
      <c r="I86" t="s">
        <v>11</v>
      </c>
    </row>
    <row r="87" spans="1:9" x14ac:dyDescent="0.25">
      <c r="A87" t="s">
        <v>114</v>
      </c>
      <c r="B87">
        <v>14.280773000000002</v>
      </c>
      <c r="C87">
        <v>1.6919999999999999</v>
      </c>
      <c r="E87">
        <v>32.367989833795903</v>
      </c>
      <c r="F87">
        <v>1082042</v>
      </c>
      <c r="G87">
        <v>1053.75</v>
      </c>
      <c r="H87">
        <v>222</v>
      </c>
      <c r="I87" t="s">
        <v>11</v>
      </c>
    </row>
    <row r="88" spans="1:9" x14ac:dyDescent="0.25">
      <c r="A88" t="s">
        <v>115</v>
      </c>
      <c r="B88">
        <v>14.283009</v>
      </c>
      <c r="C88">
        <v>3.2189999999999999</v>
      </c>
      <c r="E88">
        <v>93.612681001906097</v>
      </c>
      <c r="F88">
        <v>1278002</v>
      </c>
      <c r="G88">
        <v>3754.1</v>
      </c>
      <c r="H88">
        <v>208</v>
      </c>
      <c r="I88" t="s">
        <v>10</v>
      </c>
    </row>
    <row r="89" spans="1:9" x14ac:dyDescent="0.25">
      <c r="A89" t="s">
        <v>116</v>
      </c>
      <c r="B89">
        <v>14.297594999999999</v>
      </c>
      <c r="C89">
        <v>1.698</v>
      </c>
      <c r="E89">
        <v>47.720964451727198</v>
      </c>
      <c r="F89">
        <v>1634018</v>
      </c>
      <c r="G89">
        <v>1661.78</v>
      </c>
      <c r="H89">
        <v>215</v>
      </c>
      <c r="I89" t="s">
        <v>11</v>
      </c>
    </row>
    <row r="90" spans="1:9" x14ac:dyDescent="0.25">
      <c r="A90" t="s">
        <v>117</v>
      </c>
      <c r="B90">
        <v>14.299284999999999</v>
      </c>
      <c r="C90">
        <v>2.677</v>
      </c>
      <c r="E90">
        <v>79.6341504196903</v>
      </c>
      <c r="F90">
        <v>1293242</v>
      </c>
      <c r="G90">
        <v>2680.42</v>
      </c>
      <c r="H90">
        <v>214</v>
      </c>
      <c r="I90" t="s">
        <v>12</v>
      </c>
    </row>
    <row r="91" spans="1:9" x14ac:dyDescent="0.25">
      <c r="A91" t="s">
        <v>118</v>
      </c>
      <c r="B91">
        <v>14.304900999999999</v>
      </c>
      <c r="C91">
        <v>3.052</v>
      </c>
      <c r="E91">
        <v>44.052436210413603</v>
      </c>
      <c r="F91">
        <v>706724</v>
      </c>
      <c r="G91">
        <v>672.04100000000005</v>
      </c>
      <c r="H91">
        <v>214</v>
      </c>
      <c r="I91" t="s">
        <v>11</v>
      </c>
    </row>
    <row r="92" spans="1:9" x14ac:dyDescent="0.25">
      <c r="A92" t="s">
        <v>119</v>
      </c>
      <c r="B92">
        <v>14.30546</v>
      </c>
      <c r="C92">
        <v>2.6680000000000001</v>
      </c>
      <c r="E92">
        <v>60.689562920108301</v>
      </c>
      <c r="F92">
        <v>804796</v>
      </c>
      <c r="G92">
        <v>1771.91</v>
      </c>
      <c r="H92">
        <v>204</v>
      </c>
      <c r="I92" t="s">
        <v>12</v>
      </c>
    </row>
    <row r="93" spans="1:9" x14ac:dyDescent="0.25">
      <c r="A93" t="s">
        <v>120</v>
      </c>
      <c r="B93">
        <v>14.313338000000002</v>
      </c>
      <c r="C93">
        <v>1.3220000000000001</v>
      </c>
      <c r="E93">
        <v>24.124669765575302</v>
      </c>
      <c r="F93">
        <v>921136</v>
      </c>
      <c r="G93">
        <v>838.06100000000004</v>
      </c>
      <c r="H93">
        <v>224</v>
      </c>
      <c r="I93" t="s">
        <v>11</v>
      </c>
    </row>
    <row r="94" spans="1:9" x14ac:dyDescent="0.25">
      <c r="A94" t="s">
        <v>121</v>
      </c>
      <c r="B94">
        <v>14.317836</v>
      </c>
      <c r="C94">
        <v>1.7110000000000001</v>
      </c>
      <c r="E94">
        <v>65.237601578436895</v>
      </c>
      <c r="F94">
        <v>1316118</v>
      </c>
      <c r="G94">
        <v>2265.48</v>
      </c>
      <c r="H94">
        <v>224</v>
      </c>
      <c r="I94" t="s">
        <v>12</v>
      </c>
    </row>
    <row r="95" spans="1:9" x14ac:dyDescent="0.25">
      <c r="A95" t="s">
        <v>122</v>
      </c>
      <c r="B95">
        <v>14.321788000000002</v>
      </c>
      <c r="C95">
        <v>3.133</v>
      </c>
      <c r="E95">
        <v>76.142861920208603</v>
      </c>
      <c r="F95">
        <v>1977848</v>
      </c>
      <c r="G95">
        <v>3019.34</v>
      </c>
      <c r="H95">
        <v>219</v>
      </c>
      <c r="I95" t="s">
        <v>12</v>
      </c>
    </row>
    <row r="96" spans="1:9" x14ac:dyDescent="0.25">
      <c r="A96" t="s">
        <v>123</v>
      </c>
      <c r="B96">
        <v>14.322346999999999</v>
      </c>
      <c r="C96">
        <v>2.6360000000000001</v>
      </c>
      <c r="E96">
        <v>50.583553489616399</v>
      </c>
      <c r="F96">
        <v>1066540</v>
      </c>
      <c r="G96">
        <v>2048.63</v>
      </c>
      <c r="H96">
        <v>202</v>
      </c>
      <c r="I96" t="s">
        <v>11</v>
      </c>
    </row>
    <row r="97" spans="1:9" x14ac:dyDescent="0.25">
      <c r="A97" t="s">
        <v>124</v>
      </c>
      <c r="B97">
        <v>14.326858</v>
      </c>
      <c r="C97">
        <v>2.1819999999999999</v>
      </c>
      <c r="E97">
        <v>39.6615724174831</v>
      </c>
      <c r="F97">
        <v>779040</v>
      </c>
      <c r="G97">
        <v>916.18200000000002</v>
      </c>
      <c r="H97">
        <v>221</v>
      </c>
      <c r="I97" t="s">
        <v>11</v>
      </c>
    </row>
    <row r="98" spans="1:9" x14ac:dyDescent="0.25">
      <c r="A98" t="s">
        <v>125</v>
      </c>
      <c r="B98">
        <v>14.339</v>
      </c>
      <c r="C98">
        <v>4.2619999999999996</v>
      </c>
      <c r="E98">
        <v>75.858609504063097</v>
      </c>
      <c r="F98">
        <v>1285752</v>
      </c>
      <c r="G98">
        <v>2261.16</v>
      </c>
      <c r="H98">
        <v>201</v>
      </c>
      <c r="I98" t="s">
        <v>12</v>
      </c>
    </row>
    <row r="99" spans="1:9" x14ac:dyDescent="0.25">
      <c r="A99" t="s">
        <v>126</v>
      </c>
      <c r="B99">
        <v>14.383473000000002</v>
      </c>
      <c r="C99">
        <v>4.3769999999999998</v>
      </c>
      <c r="E99">
        <v>63.140821991104502</v>
      </c>
      <c r="F99">
        <v>1084980</v>
      </c>
      <c r="G99">
        <v>2423.39</v>
      </c>
      <c r="H99">
        <v>211</v>
      </c>
      <c r="I99" t="s">
        <v>12</v>
      </c>
    </row>
    <row r="100" spans="1:9" x14ac:dyDescent="0.25">
      <c r="A100" t="s">
        <v>127</v>
      </c>
      <c r="B100">
        <v>14.409655000000001</v>
      </c>
      <c r="C100">
        <v>1.9970000000000001</v>
      </c>
      <c r="E100">
        <v>72.129886633448095</v>
      </c>
      <c r="F100">
        <v>1355048</v>
      </c>
      <c r="G100">
        <v>3501.23</v>
      </c>
      <c r="H100">
        <v>210</v>
      </c>
      <c r="I100" t="s">
        <v>12</v>
      </c>
    </row>
    <row r="101" spans="1:9" x14ac:dyDescent="0.25">
      <c r="A101" t="s">
        <v>128</v>
      </c>
      <c r="B101">
        <v>14.415934</v>
      </c>
      <c r="C101">
        <v>3.2410000000000001</v>
      </c>
      <c r="E101">
        <v>62.338226933752402</v>
      </c>
      <c r="F101">
        <v>3286892</v>
      </c>
      <c r="G101">
        <v>2514.81</v>
      </c>
      <c r="H101">
        <v>216</v>
      </c>
      <c r="I101" t="s">
        <v>12</v>
      </c>
    </row>
    <row r="102" spans="1:9" x14ac:dyDescent="0.25">
      <c r="A102" t="s">
        <v>129</v>
      </c>
      <c r="B102">
        <v>14.480739000000002</v>
      </c>
      <c r="C102">
        <v>0.81599999999999995</v>
      </c>
      <c r="E102">
        <v>81.827910243119405</v>
      </c>
      <c r="F102">
        <v>888742</v>
      </c>
      <c r="G102">
        <v>2563.59</v>
      </c>
      <c r="H102">
        <v>209</v>
      </c>
      <c r="I102" t="s">
        <v>12</v>
      </c>
    </row>
    <row r="103" spans="1:9" x14ac:dyDescent="0.25">
      <c r="A103" t="s">
        <v>130</v>
      </c>
      <c r="B103">
        <v>14.543230000000001</v>
      </c>
      <c r="C103">
        <v>2.234</v>
      </c>
      <c r="E103">
        <v>41.320268869344197</v>
      </c>
      <c r="F103">
        <v>1370490</v>
      </c>
      <c r="G103">
        <v>811.57299999999998</v>
      </c>
      <c r="H103">
        <v>217</v>
      </c>
      <c r="I103" t="s">
        <v>11</v>
      </c>
    </row>
    <row r="104" spans="1:9" x14ac:dyDescent="0.25">
      <c r="A104" t="s">
        <v>131</v>
      </c>
      <c r="B104">
        <v>14.916589999999999</v>
      </c>
      <c r="C104">
        <v>4.8940000000000001</v>
      </c>
      <c r="E104">
        <v>80.058856970872398</v>
      </c>
      <c r="F104">
        <v>1728614</v>
      </c>
      <c r="G104">
        <v>4510.3100000000004</v>
      </c>
      <c r="H104">
        <v>212</v>
      </c>
      <c r="I104" t="s">
        <v>12</v>
      </c>
    </row>
    <row r="105" spans="1:9" x14ac:dyDescent="0.25">
      <c r="A105" t="s">
        <v>132</v>
      </c>
      <c r="B105">
        <v>14.917760000000001</v>
      </c>
      <c r="C105">
        <v>9.5449999999999999</v>
      </c>
      <c r="E105">
        <v>89.231849647192504</v>
      </c>
      <c r="F105">
        <v>1355738</v>
      </c>
      <c r="G105">
        <v>3180.63</v>
      </c>
      <c r="H105">
        <v>211</v>
      </c>
      <c r="I105" t="s">
        <v>12</v>
      </c>
    </row>
    <row r="106" spans="1:9" x14ac:dyDescent="0.25">
      <c r="A106" t="s">
        <v>133</v>
      </c>
      <c r="B106">
        <v>14.918344999999999</v>
      </c>
      <c r="C106">
        <v>1.28</v>
      </c>
      <c r="E106">
        <v>27.264822927465399</v>
      </c>
      <c r="F106">
        <v>1454648</v>
      </c>
      <c r="G106">
        <v>1829.99</v>
      </c>
      <c r="H106">
        <v>224</v>
      </c>
      <c r="I106" t="s">
        <v>11</v>
      </c>
    </row>
    <row r="107" spans="1:9" x14ac:dyDescent="0.25">
      <c r="A107" t="s">
        <v>134</v>
      </c>
      <c r="B107">
        <v>14.925976</v>
      </c>
      <c r="C107">
        <v>1.3280000000000001</v>
      </c>
      <c r="E107">
        <v>45.804768752299097</v>
      </c>
      <c r="F107">
        <v>1031272</v>
      </c>
      <c r="G107">
        <v>1863.77</v>
      </c>
      <c r="H107">
        <v>222</v>
      </c>
      <c r="I107" t="s">
        <v>11</v>
      </c>
    </row>
    <row r="108" spans="1:9" x14ac:dyDescent="0.25">
      <c r="A108" t="s">
        <v>135</v>
      </c>
      <c r="B108">
        <v>14.929486000000001</v>
      </c>
      <c r="C108">
        <v>1.667</v>
      </c>
      <c r="E108">
        <v>49.322810420359097</v>
      </c>
      <c r="F108">
        <v>864786</v>
      </c>
      <c r="G108">
        <v>1078.75</v>
      </c>
      <c r="H108">
        <v>222</v>
      </c>
      <c r="I108" t="s">
        <v>11</v>
      </c>
    </row>
    <row r="109" spans="1:9" x14ac:dyDescent="0.25">
      <c r="A109" t="s">
        <v>136</v>
      </c>
      <c r="B109">
        <v>14.933009</v>
      </c>
      <c r="C109">
        <v>2.46</v>
      </c>
      <c r="E109">
        <v>53.683576898638897</v>
      </c>
      <c r="F109">
        <v>2339620</v>
      </c>
      <c r="G109">
        <v>2379.0300000000002</v>
      </c>
      <c r="H109">
        <v>216</v>
      </c>
      <c r="I109" t="s">
        <v>11</v>
      </c>
    </row>
    <row r="110" spans="1:9" x14ac:dyDescent="0.25">
      <c r="A110" t="s">
        <v>137</v>
      </c>
      <c r="B110">
        <v>14.933606999999999</v>
      </c>
      <c r="C110">
        <v>1.286</v>
      </c>
      <c r="E110">
        <v>26.211416914690801</v>
      </c>
      <c r="F110">
        <v>917394</v>
      </c>
      <c r="G110">
        <v>918.08600000000001</v>
      </c>
      <c r="H110">
        <v>224</v>
      </c>
      <c r="I110" t="s">
        <v>11</v>
      </c>
    </row>
    <row r="111" spans="1:9" x14ac:dyDescent="0.25">
      <c r="A111" t="s">
        <v>138</v>
      </c>
      <c r="B111">
        <v>14.948297</v>
      </c>
      <c r="C111">
        <v>2.4529999999999998</v>
      </c>
      <c r="E111">
        <v>85.402802394408496</v>
      </c>
      <c r="F111">
        <v>1936894</v>
      </c>
      <c r="G111">
        <v>3218.19</v>
      </c>
      <c r="H111">
        <v>218</v>
      </c>
      <c r="I111" t="s">
        <v>12</v>
      </c>
    </row>
    <row r="112" spans="1:9" x14ac:dyDescent="0.25">
      <c r="A112" t="s">
        <v>139</v>
      </c>
      <c r="B112">
        <v>14.963598000000001</v>
      </c>
      <c r="C112">
        <v>4.5369999999999999</v>
      </c>
      <c r="E112">
        <v>43.0960104337357</v>
      </c>
      <c r="F112">
        <v>768608</v>
      </c>
      <c r="G112">
        <v>728.57100000000003</v>
      </c>
      <c r="H112">
        <v>204</v>
      </c>
      <c r="I112" t="s">
        <v>11</v>
      </c>
    </row>
    <row r="113" spans="1:9" x14ac:dyDescent="0.25">
      <c r="A113" t="s">
        <v>140</v>
      </c>
      <c r="B113">
        <v>15.190799</v>
      </c>
      <c r="C113">
        <v>4.556</v>
      </c>
      <c r="E113">
        <v>45.660970471190097</v>
      </c>
      <c r="F113">
        <v>1060474</v>
      </c>
      <c r="G113">
        <v>2103.7399999999998</v>
      </c>
      <c r="H113">
        <v>202</v>
      </c>
      <c r="I113" t="s">
        <v>11</v>
      </c>
    </row>
    <row r="114" spans="1:9" x14ac:dyDescent="0.25">
      <c r="A114" t="s">
        <v>141</v>
      </c>
      <c r="B114">
        <v>15.548805999999999</v>
      </c>
      <c r="C114">
        <v>2.7869999999999999</v>
      </c>
      <c r="E114">
        <v>68.0299635488078</v>
      </c>
      <c r="F114">
        <v>2985558</v>
      </c>
      <c r="G114">
        <v>3405.33</v>
      </c>
      <c r="H114">
        <v>219</v>
      </c>
      <c r="I114" t="s">
        <v>12</v>
      </c>
    </row>
    <row r="115" spans="1:9" x14ac:dyDescent="0.25">
      <c r="A115" t="s">
        <v>142</v>
      </c>
      <c r="B115">
        <v>15.551860999999999</v>
      </c>
      <c r="C115">
        <v>2.0219999999999998</v>
      </c>
      <c r="E115">
        <v>66.769220479550498</v>
      </c>
      <c r="F115">
        <v>1317250</v>
      </c>
      <c r="G115">
        <v>1458</v>
      </c>
      <c r="H115">
        <v>219</v>
      </c>
      <c r="I115" t="s">
        <v>12</v>
      </c>
    </row>
    <row r="116" spans="1:9" x14ac:dyDescent="0.25">
      <c r="A116" t="s">
        <v>143</v>
      </c>
      <c r="B116">
        <v>15.561039000000001</v>
      </c>
      <c r="C116">
        <v>4.0970000000000004</v>
      </c>
      <c r="E116">
        <v>72.470989532822799</v>
      </c>
      <c r="F116">
        <v>2578042</v>
      </c>
      <c r="G116">
        <v>5284.13</v>
      </c>
      <c r="H116">
        <v>213</v>
      </c>
      <c r="I116" t="s">
        <v>12</v>
      </c>
    </row>
    <row r="117" spans="1:9" x14ac:dyDescent="0.25">
      <c r="A117" t="s">
        <v>144</v>
      </c>
      <c r="B117">
        <v>15.566538000000001</v>
      </c>
      <c r="C117">
        <v>1.927</v>
      </c>
      <c r="E117">
        <v>23.5829181018626</v>
      </c>
      <c r="F117">
        <v>405100</v>
      </c>
      <c r="G117">
        <v>368.64499999999998</v>
      </c>
      <c r="H117">
        <v>224</v>
      </c>
      <c r="I117" t="s">
        <v>11</v>
      </c>
    </row>
    <row r="118" spans="1:9" x14ac:dyDescent="0.25">
      <c r="A118" t="s">
        <v>145</v>
      </c>
      <c r="B118">
        <v>15.576352999999999</v>
      </c>
      <c r="C118">
        <v>3.1680000000000001</v>
      </c>
      <c r="E118">
        <v>27.896866535130201</v>
      </c>
      <c r="F118">
        <v>510806</v>
      </c>
      <c r="G118">
        <v>289.85899999999998</v>
      </c>
      <c r="H118">
        <v>214</v>
      </c>
      <c r="I118" t="s">
        <v>11</v>
      </c>
    </row>
    <row r="119" spans="1:9" x14ac:dyDescent="0.25">
      <c r="A119" t="s">
        <v>146</v>
      </c>
      <c r="B119">
        <v>15.776332000000002</v>
      </c>
      <c r="C119">
        <v>2.879</v>
      </c>
      <c r="E119">
        <v>63.147510283249098</v>
      </c>
      <c r="F119">
        <v>1888906</v>
      </c>
      <c r="G119">
        <v>1391.11</v>
      </c>
      <c r="H119">
        <v>216</v>
      </c>
      <c r="I119" t="s">
        <v>12</v>
      </c>
    </row>
    <row r="120" spans="1:9" x14ac:dyDescent="0.25">
      <c r="A120" t="s">
        <v>147</v>
      </c>
      <c r="B120">
        <v>16.158376000000001</v>
      </c>
      <c r="C120">
        <v>1.133</v>
      </c>
      <c r="E120">
        <v>37.732000133765801</v>
      </c>
      <c r="F120">
        <v>1277564</v>
      </c>
      <c r="G120">
        <v>1557.12</v>
      </c>
      <c r="H120">
        <v>222</v>
      </c>
      <c r="I120" t="s">
        <v>11</v>
      </c>
    </row>
    <row r="121" spans="1:9" x14ac:dyDescent="0.25">
      <c r="A121" t="s">
        <v>148</v>
      </c>
      <c r="B121">
        <v>16.164082999999998</v>
      </c>
      <c r="C121">
        <v>1.365</v>
      </c>
      <c r="E121">
        <v>43.641106243520703</v>
      </c>
      <c r="F121">
        <v>561152</v>
      </c>
      <c r="G121">
        <v>800.77</v>
      </c>
      <c r="H121">
        <v>224</v>
      </c>
      <c r="I121" t="s">
        <v>11</v>
      </c>
    </row>
    <row r="122" spans="1:9" x14ac:dyDescent="0.25">
      <c r="A122" t="s">
        <v>149</v>
      </c>
      <c r="B122">
        <v>16.164082999999998</v>
      </c>
      <c r="C122">
        <v>1.5940000000000001</v>
      </c>
      <c r="E122">
        <v>34.8694110958766</v>
      </c>
      <c r="F122">
        <v>1009772</v>
      </c>
      <c r="G122">
        <v>1061.95</v>
      </c>
      <c r="H122">
        <v>221</v>
      </c>
      <c r="I122" t="s">
        <v>11</v>
      </c>
    </row>
    <row r="123" spans="1:9" x14ac:dyDescent="0.25">
      <c r="A123" t="s">
        <v>150</v>
      </c>
      <c r="B123">
        <v>16.175522999999998</v>
      </c>
      <c r="C123">
        <v>1.123</v>
      </c>
      <c r="E123">
        <v>48.373072935825803</v>
      </c>
      <c r="F123">
        <v>259314</v>
      </c>
      <c r="G123">
        <v>294.40699999999998</v>
      </c>
      <c r="H123">
        <v>223</v>
      </c>
      <c r="I123" t="s">
        <v>11</v>
      </c>
    </row>
    <row r="124" spans="1:9" x14ac:dyDescent="0.25">
      <c r="A124" t="s">
        <v>151</v>
      </c>
      <c r="B124">
        <v>16.180605999999997</v>
      </c>
      <c r="C124">
        <v>3.0019999999999998</v>
      </c>
      <c r="E124">
        <v>79.262950205664893</v>
      </c>
      <c r="F124">
        <v>1294354</v>
      </c>
      <c r="G124">
        <v>3488.06</v>
      </c>
      <c r="H124">
        <v>202</v>
      </c>
      <c r="I124" t="s">
        <v>12</v>
      </c>
    </row>
    <row r="125" spans="1:9" x14ac:dyDescent="0.25">
      <c r="A125" t="s">
        <v>152</v>
      </c>
      <c r="B125">
        <v>16.182517000000001</v>
      </c>
      <c r="C125">
        <v>2.12</v>
      </c>
      <c r="E125">
        <v>64.598869678627494</v>
      </c>
      <c r="F125">
        <v>1236762</v>
      </c>
      <c r="G125">
        <v>2657.13</v>
      </c>
      <c r="H125">
        <v>210</v>
      </c>
      <c r="I125" t="s">
        <v>12</v>
      </c>
    </row>
    <row r="126" spans="1:9" x14ac:dyDescent="0.25">
      <c r="A126" t="s">
        <v>153</v>
      </c>
      <c r="B126">
        <v>16.204825</v>
      </c>
      <c r="C126">
        <v>3.0939999999999999</v>
      </c>
      <c r="E126">
        <v>74.4908537604922</v>
      </c>
      <c r="F126">
        <v>1223096</v>
      </c>
      <c r="G126">
        <v>3007.57</v>
      </c>
      <c r="H126">
        <v>202</v>
      </c>
      <c r="I126" t="s">
        <v>12</v>
      </c>
    </row>
    <row r="127" spans="1:9" x14ac:dyDescent="0.25">
      <c r="A127" t="s">
        <v>154</v>
      </c>
      <c r="B127">
        <v>16.206735999999999</v>
      </c>
      <c r="C127">
        <v>2.9910000000000001</v>
      </c>
      <c r="E127">
        <v>89.061298197505195</v>
      </c>
      <c r="F127">
        <v>1728004</v>
      </c>
      <c r="G127">
        <v>4371.97</v>
      </c>
      <c r="H127">
        <v>213</v>
      </c>
      <c r="I127" t="s">
        <v>12</v>
      </c>
    </row>
    <row r="128" spans="1:9" x14ac:dyDescent="0.25">
      <c r="A128" t="s">
        <v>155</v>
      </c>
      <c r="B128">
        <v>16.270175999999999</v>
      </c>
      <c r="C128">
        <v>8.9640000000000004</v>
      </c>
      <c r="E128">
        <v>86.412734508243304</v>
      </c>
      <c r="F128">
        <v>2044882</v>
      </c>
      <c r="G128">
        <v>5754.79</v>
      </c>
      <c r="H128">
        <v>211</v>
      </c>
      <c r="I128" t="s">
        <v>12</v>
      </c>
    </row>
    <row r="129" spans="1:9" x14ac:dyDescent="0.25">
      <c r="A129" t="s">
        <v>156</v>
      </c>
      <c r="B129">
        <v>16.512457000000001</v>
      </c>
      <c r="C129">
        <v>2.42</v>
      </c>
      <c r="E129">
        <v>60.6260241447346</v>
      </c>
      <c r="F129">
        <v>1013156</v>
      </c>
      <c r="G129">
        <v>2407.4499999999998</v>
      </c>
      <c r="H129">
        <v>202</v>
      </c>
      <c r="I129" t="s">
        <v>12</v>
      </c>
    </row>
    <row r="130" spans="1:9" x14ac:dyDescent="0.25">
      <c r="A130" t="s">
        <v>157</v>
      </c>
      <c r="B130">
        <v>16.536961999999999</v>
      </c>
      <c r="C130">
        <v>3.294</v>
      </c>
      <c r="E130">
        <v>64.137377520650105</v>
      </c>
      <c r="F130">
        <v>1328890</v>
      </c>
      <c r="G130">
        <v>2312.09</v>
      </c>
      <c r="H130">
        <v>214</v>
      </c>
      <c r="I130" t="s">
        <v>12</v>
      </c>
    </row>
    <row r="131" spans="1:9" x14ac:dyDescent="0.25">
      <c r="A131" t="s">
        <v>158</v>
      </c>
      <c r="B131">
        <v>16.790735000000002</v>
      </c>
      <c r="C131">
        <v>1.8380000000000001</v>
      </c>
      <c r="E131">
        <v>70.698592114503498</v>
      </c>
      <c r="F131">
        <v>934622</v>
      </c>
      <c r="G131">
        <v>2467.89</v>
      </c>
      <c r="H131">
        <v>208</v>
      </c>
      <c r="I131" t="s">
        <v>12</v>
      </c>
    </row>
    <row r="132" spans="1:9" x14ac:dyDescent="0.25">
      <c r="A132" t="s">
        <v>159</v>
      </c>
      <c r="B132">
        <v>16.793374</v>
      </c>
      <c r="C132">
        <v>2.089</v>
      </c>
      <c r="E132">
        <v>39.149918068421201</v>
      </c>
      <c r="F132">
        <v>455324</v>
      </c>
      <c r="G132">
        <v>500.09699999999998</v>
      </c>
      <c r="H132">
        <v>224</v>
      </c>
      <c r="I132" t="s">
        <v>11</v>
      </c>
    </row>
    <row r="133" spans="1:9" x14ac:dyDescent="0.25">
      <c r="A133" t="s">
        <v>160</v>
      </c>
      <c r="B133">
        <v>16.794687</v>
      </c>
      <c r="C133">
        <v>5.4509999999999996</v>
      </c>
      <c r="E133">
        <v>82.566966525097797</v>
      </c>
      <c r="F133">
        <v>1865596</v>
      </c>
      <c r="G133">
        <v>4470.37</v>
      </c>
      <c r="H133">
        <v>211</v>
      </c>
      <c r="I133" t="s">
        <v>12</v>
      </c>
    </row>
    <row r="134" spans="1:9" x14ac:dyDescent="0.25">
      <c r="A134" t="s">
        <v>161</v>
      </c>
      <c r="B134">
        <v>16.795999999999999</v>
      </c>
      <c r="C134">
        <v>4.2350000000000003</v>
      </c>
      <c r="E134">
        <v>59.365281075477299</v>
      </c>
      <c r="F134">
        <v>823310</v>
      </c>
      <c r="G134">
        <v>1171.7</v>
      </c>
      <c r="H134">
        <v>201</v>
      </c>
      <c r="I134" t="s">
        <v>11</v>
      </c>
    </row>
    <row r="135" spans="1:9" x14ac:dyDescent="0.25">
      <c r="A135" t="s">
        <v>162</v>
      </c>
      <c r="B135">
        <v>16.807244999999998</v>
      </c>
      <c r="C135">
        <v>2.1779999999999999</v>
      </c>
      <c r="E135">
        <v>66.608701468080099</v>
      </c>
      <c r="F135">
        <v>805974</v>
      </c>
      <c r="G135">
        <v>1215.42</v>
      </c>
      <c r="H135">
        <v>221</v>
      </c>
      <c r="I135" t="s">
        <v>12</v>
      </c>
    </row>
    <row r="136" spans="1:9" x14ac:dyDescent="0.25">
      <c r="A136" t="s">
        <v>163</v>
      </c>
      <c r="B136">
        <v>16.833725999999999</v>
      </c>
      <c r="C136">
        <v>2.133</v>
      </c>
      <c r="E136">
        <v>37.303949436511303</v>
      </c>
      <c r="F136">
        <v>2384288</v>
      </c>
      <c r="G136">
        <v>2058.98</v>
      </c>
      <c r="H136">
        <v>223</v>
      </c>
      <c r="I136" t="s">
        <v>11</v>
      </c>
    </row>
    <row r="137" spans="1:9" x14ac:dyDescent="0.25">
      <c r="A137" t="s">
        <v>164</v>
      </c>
      <c r="B137">
        <v>16.849651000000001</v>
      </c>
      <c r="C137">
        <v>3.032</v>
      </c>
      <c r="E137">
        <v>37.962746212754503</v>
      </c>
      <c r="F137">
        <v>830374</v>
      </c>
      <c r="G137">
        <v>360.46100000000001</v>
      </c>
      <c r="H137">
        <v>216</v>
      </c>
      <c r="I137" t="s">
        <v>11</v>
      </c>
    </row>
    <row r="138" spans="1:9" x14ac:dyDescent="0.25">
      <c r="A138" t="s">
        <v>165</v>
      </c>
      <c r="B138">
        <v>16.873609999999999</v>
      </c>
      <c r="C138">
        <v>2.5529999999999999</v>
      </c>
      <c r="E138">
        <v>76.199712403437701</v>
      </c>
      <c r="F138">
        <v>1181838</v>
      </c>
      <c r="G138">
        <v>2812.39</v>
      </c>
      <c r="H138">
        <v>210</v>
      </c>
      <c r="I138" t="s">
        <v>12</v>
      </c>
    </row>
    <row r="139" spans="1:9" x14ac:dyDescent="0.25">
      <c r="A139" t="s">
        <v>166</v>
      </c>
      <c r="B139">
        <v>16.875612</v>
      </c>
      <c r="C139">
        <v>3.9950000000000001</v>
      </c>
      <c r="E139">
        <v>57.910577534026601</v>
      </c>
      <c r="F139">
        <v>1307980</v>
      </c>
      <c r="G139">
        <v>1715.25</v>
      </c>
      <c r="H139">
        <v>212</v>
      </c>
      <c r="I139" t="s">
        <v>11</v>
      </c>
    </row>
    <row r="140" spans="1:9" x14ac:dyDescent="0.25">
      <c r="A140" t="s">
        <v>167</v>
      </c>
      <c r="B140">
        <v>16.986294000000001</v>
      </c>
      <c r="C140">
        <v>1.2709999999999999</v>
      </c>
      <c r="E140">
        <v>65.220880848075396</v>
      </c>
      <c r="F140">
        <v>1223682</v>
      </c>
      <c r="G140">
        <v>2544.3200000000002</v>
      </c>
      <c r="H140">
        <v>224</v>
      </c>
      <c r="I140" t="s">
        <v>12</v>
      </c>
    </row>
    <row r="141" spans="1:9" x14ac:dyDescent="0.25">
      <c r="A141" t="s">
        <v>168</v>
      </c>
      <c r="B141">
        <v>17.393129000000002</v>
      </c>
      <c r="C141">
        <v>3.6150000000000002</v>
      </c>
      <c r="E141">
        <v>50.904591512557197</v>
      </c>
      <c r="F141">
        <v>725854</v>
      </c>
      <c r="G141">
        <v>1363.65</v>
      </c>
      <c r="H141">
        <v>205</v>
      </c>
      <c r="I141" t="s">
        <v>11</v>
      </c>
    </row>
    <row r="142" spans="1:9" x14ac:dyDescent="0.25">
      <c r="A142" t="s">
        <v>169</v>
      </c>
      <c r="B142">
        <v>17.398588999999998</v>
      </c>
      <c r="C142">
        <v>3.8940000000000001</v>
      </c>
      <c r="E142">
        <v>66.214092231548605</v>
      </c>
      <c r="F142">
        <v>774988</v>
      </c>
      <c r="G142">
        <v>1574.76</v>
      </c>
      <c r="H142">
        <v>211</v>
      </c>
      <c r="I142" t="s">
        <v>12</v>
      </c>
    </row>
    <row r="143" spans="1:9" x14ac:dyDescent="0.25">
      <c r="A143" t="s">
        <v>170</v>
      </c>
      <c r="B143">
        <v>17.400642999999999</v>
      </c>
      <c r="C143">
        <v>2.806</v>
      </c>
      <c r="E143">
        <v>71.116610373541107</v>
      </c>
      <c r="F143">
        <v>1291308</v>
      </c>
      <c r="G143">
        <v>803.72199999999998</v>
      </c>
      <c r="H143">
        <v>217</v>
      </c>
      <c r="I143" t="s">
        <v>12</v>
      </c>
    </row>
    <row r="144" spans="1:9" x14ac:dyDescent="0.25">
      <c r="A144" t="s">
        <v>171</v>
      </c>
      <c r="B144">
        <v>17.404738000000002</v>
      </c>
      <c r="C144">
        <v>2.363</v>
      </c>
      <c r="E144">
        <v>57.091261746313002</v>
      </c>
      <c r="F144">
        <v>2781782</v>
      </c>
      <c r="G144">
        <v>2746.18</v>
      </c>
      <c r="H144">
        <v>215</v>
      </c>
      <c r="I144" t="s">
        <v>11</v>
      </c>
    </row>
    <row r="145" spans="1:9" x14ac:dyDescent="0.25">
      <c r="A145" t="s">
        <v>172</v>
      </c>
      <c r="B145">
        <v>17.404738000000002</v>
      </c>
      <c r="C145">
        <v>3.4780000000000002</v>
      </c>
      <c r="E145">
        <v>68.859311774738302</v>
      </c>
      <c r="F145">
        <v>2927808</v>
      </c>
      <c r="G145">
        <v>5740.57</v>
      </c>
      <c r="H145">
        <v>223</v>
      </c>
      <c r="I145" t="s">
        <v>12</v>
      </c>
    </row>
    <row r="146" spans="1:9" x14ac:dyDescent="0.25">
      <c r="A146" t="s">
        <v>173</v>
      </c>
      <c r="B146">
        <v>17.405427</v>
      </c>
      <c r="C146">
        <v>2.2320000000000002</v>
      </c>
      <c r="E146">
        <v>74.300237434371098</v>
      </c>
      <c r="F146">
        <v>3907942</v>
      </c>
      <c r="G146">
        <v>6278.25</v>
      </c>
      <c r="H146">
        <v>215</v>
      </c>
      <c r="I146" t="s">
        <v>12</v>
      </c>
    </row>
    <row r="147" spans="1:9" x14ac:dyDescent="0.25">
      <c r="A147" t="s">
        <v>174</v>
      </c>
      <c r="B147">
        <v>17.412264999999998</v>
      </c>
      <c r="C147">
        <v>1.927</v>
      </c>
      <c r="E147">
        <v>72.868942915426501</v>
      </c>
      <c r="F147">
        <v>2483134</v>
      </c>
      <c r="G147">
        <v>4239.76</v>
      </c>
      <c r="H147">
        <v>216</v>
      </c>
      <c r="I147" t="s">
        <v>12</v>
      </c>
    </row>
    <row r="148" spans="1:9" x14ac:dyDescent="0.25">
      <c r="A148" t="s">
        <v>175</v>
      </c>
      <c r="B148">
        <v>17.42117</v>
      </c>
      <c r="C148">
        <v>2.052</v>
      </c>
      <c r="E148">
        <v>67.341069457913903</v>
      </c>
      <c r="F148">
        <v>2476102</v>
      </c>
      <c r="G148">
        <v>3582.83</v>
      </c>
      <c r="H148">
        <v>215</v>
      </c>
      <c r="I148" t="s">
        <v>12</v>
      </c>
    </row>
    <row r="149" spans="1:9" x14ac:dyDescent="0.25">
      <c r="A149" t="s">
        <v>176</v>
      </c>
      <c r="B149">
        <v>17.425953999999997</v>
      </c>
      <c r="C149">
        <v>1.179</v>
      </c>
      <c r="E149">
        <v>40.0127077550747</v>
      </c>
      <c r="F149">
        <v>1494450</v>
      </c>
      <c r="G149">
        <v>2305.73</v>
      </c>
      <c r="H149">
        <v>221</v>
      </c>
      <c r="I149" t="s">
        <v>11</v>
      </c>
    </row>
    <row r="150" spans="1:9" x14ac:dyDescent="0.25">
      <c r="A150" t="s">
        <v>177</v>
      </c>
      <c r="B150">
        <v>17.426642999999999</v>
      </c>
      <c r="C150">
        <v>3.9159999999999999</v>
      </c>
      <c r="E150">
        <v>91.900478212888302</v>
      </c>
      <c r="F150">
        <v>1431190</v>
      </c>
      <c r="G150">
        <v>3794</v>
      </c>
      <c r="H150">
        <v>205</v>
      </c>
      <c r="I150" t="s">
        <v>10</v>
      </c>
    </row>
    <row r="151" spans="1:9" x14ac:dyDescent="0.25">
      <c r="A151" t="s">
        <v>178</v>
      </c>
      <c r="B151">
        <v>17.432129</v>
      </c>
      <c r="C151">
        <v>2.0790000000000002</v>
      </c>
      <c r="E151">
        <v>69.090057853727004</v>
      </c>
      <c r="F151">
        <v>1136418</v>
      </c>
      <c r="G151">
        <v>2623.16</v>
      </c>
      <c r="H151">
        <v>204</v>
      </c>
      <c r="I151" t="s">
        <v>12</v>
      </c>
    </row>
    <row r="152" spans="1:9" x14ac:dyDescent="0.25">
      <c r="A152" t="s">
        <v>179</v>
      </c>
      <c r="B152">
        <v>17.569669000000001</v>
      </c>
      <c r="C152">
        <v>2.72</v>
      </c>
      <c r="E152">
        <v>74.112965254322305</v>
      </c>
      <c r="F152">
        <v>3079348</v>
      </c>
      <c r="G152">
        <v>2314.41</v>
      </c>
      <c r="H152">
        <v>220</v>
      </c>
      <c r="I152" t="s">
        <v>12</v>
      </c>
    </row>
    <row r="153" spans="1:9" x14ac:dyDescent="0.25">
      <c r="A153" t="s">
        <v>180</v>
      </c>
      <c r="B153">
        <v>17.688189999999999</v>
      </c>
      <c r="C153">
        <v>2.601</v>
      </c>
      <c r="E153">
        <v>55.853927699561901</v>
      </c>
      <c r="F153">
        <v>1038296</v>
      </c>
      <c r="G153">
        <v>1424.03</v>
      </c>
      <c r="H153">
        <v>214</v>
      </c>
      <c r="I153" t="s">
        <v>11</v>
      </c>
    </row>
    <row r="154" spans="1:9" x14ac:dyDescent="0.25">
      <c r="A154" t="s">
        <v>181</v>
      </c>
      <c r="B154">
        <v>17.970082000000001</v>
      </c>
      <c r="C154">
        <v>5.7789999999999999</v>
      </c>
      <c r="E154">
        <v>75.367020031434905</v>
      </c>
      <c r="F154">
        <v>1487528</v>
      </c>
      <c r="G154">
        <v>3399.25</v>
      </c>
      <c r="H154">
        <v>202</v>
      </c>
      <c r="I154" t="s">
        <v>12</v>
      </c>
    </row>
    <row r="155" spans="1:9" x14ac:dyDescent="0.25">
      <c r="A155" t="s">
        <v>182</v>
      </c>
      <c r="B155">
        <v>18.030232999999999</v>
      </c>
      <c r="C155">
        <v>3.218</v>
      </c>
      <c r="E155">
        <v>65.862956893957104</v>
      </c>
      <c r="F155">
        <v>2185052</v>
      </c>
      <c r="G155">
        <v>5173.78</v>
      </c>
      <c r="H155">
        <v>212</v>
      </c>
      <c r="I155" t="s">
        <v>12</v>
      </c>
    </row>
    <row r="156" spans="1:9" x14ac:dyDescent="0.25">
      <c r="A156" t="s">
        <v>183</v>
      </c>
      <c r="B156">
        <v>18.030947999999999</v>
      </c>
      <c r="C156">
        <v>5.4340000000000002</v>
      </c>
      <c r="E156">
        <v>72.501086847473502</v>
      </c>
      <c r="F156">
        <v>2226444</v>
      </c>
      <c r="G156">
        <v>4697.57</v>
      </c>
      <c r="H156">
        <v>212</v>
      </c>
      <c r="I156" t="s">
        <v>12</v>
      </c>
    </row>
    <row r="157" spans="1:9" x14ac:dyDescent="0.25">
      <c r="A157" t="s">
        <v>184</v>
      </c>
      <c r="B157">
        <v>18.032364999999999</v>
      </c>
      <c r="C157">
        <v>1.248</v>
      </c>
      <c r="E157">
        <v>16.369595023910598</v>
      </c>
      <c r="F157">
        <v>794504</v>
      </c>
      <c r="G157">
        <v>551.36500000000001</v>
      </c>
      <c r="H157">
        <v>224</v>
      </c>
      <c r="I157" t="s">
        <v>11</v>
      </c>
    </row>
    <row r="158" spans="1:9" x14ac:dyDescent="0.25">
      <c r="A158" t="s">
        <v>185</v>
      </c>
      <c r="B158">
        <v>18.041582000000002</v>
      </c>
      <c r="C158">
        <v>4.4660000000000002</v>
      </c>
      <c r="E158">
        <v>76.012440223388893</v>
      </c>
      <c r="F158">
        <v>1650324</v>
      </c>
      <c r="G158">
        <v>2565.15</v>
      </c>
      <c r="H158">
        <v>213</v>
      </c>
      <c r="I158" t="s">
        <v>12</v>
      </c>
    </row>
    <row r="159" spans="1:9" x14ac:dyDescent="0.25">
      <c r="A159" t="s">
        <v>186</v>
      </c>
      <c r="B159">
        <v>18.078527999999999</v>
      </c>
      <c r="C159">
        <v>0.19500000000000001</v>
      </c>
      <c r="E159">
        <v>73.678226264923197</v>
      </c>
      <c r="F159">
        <v>1603864</v>
      </c>
      <c r="G159">
        <v>2962.8</v>
      </c>
      <c r="H159">
        <v>213</v>
      </c>
      <c r="I159" t="s">
        <v>12</v>
      </c>
    </row>
    <row r="160" spans="1:9" x14ac:dyDescent="0.25">
      <c r="A160" t="s">
        <v>187</v>
      </c>
      <c r="B160">
        <v>18.090644000000001</v>
      </c>
      <c r="C160">
        <v>7.36</v>
      </c>
      <c r="E160">
        <v>78.493796609035797</v>
      </c>
      <c r="F160">
        <v>893818</v>
      </c>
      <c r="G160">
        <v>2186.96</v>
      </c>
      <c r="H160">
        <v>211</v>
      </c>
      <c r="I160" t="s">
        <v>12</v>
      </c>
    </row>
    <row r="161" spans="1:9" x14ac:dyDescent="0.25">
      <c r="A161" t="s">
        <v>188</v>
      </c>
      <c r="B161">
        <v>18.091359000000001</v>
      </c>
      <c r="C161">
        <v>2.8690000000000002</v>
      </c>
      <c r="E161">
        <v>82.727485536568196</v>
      </c>
      <c r="F161">
        <v>974566</v>
      </c>
      <c r="G161">
        <v>2397.27</v>
      </c>
      <c r="H161">
        <v>210</v>
      </c>
      <c r="I161" t="s">
        <v>12</v>
      </c>
    </row>
    <row r="162" spans="1:9" x14ac:dyDescent="0.25">
      <c r="A162" t="s">
        <v>189</v>
      </c>
      <c r="B162">
        <v>18.135676</v>
      </c>
      <c r="C162">
        <v>0.438</v>
      </c>
      <c r="E162">
        <v>76.019128515533495</v>
      </c>
      <c r="F162">
        <v>416774</v>
      </c>
      <c r="G162">
        <v>906.03899999999999</v>
      </c>
      <c r="H162">
        <v>207</v>
      </c>
      <c r="I162" t="s">
        <v>12</v>
      </c>
    </row>
    <row r="163" spans="1:9" x14ac:dyDescent="0.25">
      <c r="A163" t="s">
        <v>190</v>
      </c>
      <c r="B163">
        <v>18.642077999999998</v>
      </c>
      <c r="C163">
        <v>1.4870000000000001</v>
      </c>
      <c r="E163">
        <v>53.887569809049197</v>
      </c>
      <c r="F163">
        <v>1709584</v>
      </c>
      <c r="G163">
        <v>2372.15</v>
      </c>
      <c r="H163">
        <v>217</v>
      </c>
      <c r="I163" t="s">
        <v>11</v>
      </c>
    </row>
    <row r="164" spans="1:9" x14ac:dyDescent="0.25">
      <c r="A164" t="s">
        <v>191</v>
      </c>
      <c r="B164">
        <v>18.64941</v>
      </c>
      <c r="C164">
        <v>4.1589999999999998</v>
      </c>
      <c r="E164">
        <v>79.607397251111905</v>
      </c>
      <c r="F164">
        <v>990012</v>
      </c>
      <c r="G164">
        <v>1792.03</v>
      </c>
      <c r="H164">
        <v>206</v>
      </c>
      <c r="I164" t="s">
        <v>12</v>
      </c>
    </row>
    <row r="165" spans="1:9" x14ac:dyDescent="0.25">
      <c r="A165" t="s">
        <v>192</v>
      </c>
      <c r="B165">
        <v>18.660395000000001</v>
      </c>
      <c r="C165">
        <v>0.20599999999999999</v>
      </c>
      <c r="E165">
        <v>91.703173594622598</v>
      </c>
      <c r="F165">
        <v>963344</v>
      </c>
      <c r="G165">
        <v>2517.3200000000002</v>
      </c>
      <c r="H165">
        <v>207</v>
      </c>
      <c r="I165" t="s">
        <v>10</v>
      </c>
    </row>
    <row r="166" spans="1:9" x14ac:dyDescent="0.25">
      <c r="A166" t="s">
        <v>193</v>
      </c>
      <c r="B166">
        <v>18.670678000000002</v>
      </c>
      <c r="C166">
        <v>3.306</v>
      </c>
      <c r="E166">
        <v>37.313981874728199</v>
      </c>
      <c r="F166">
        <v>433102</v>
      </c>
      <c r="G166">
        <v>462.84100000000001</v>
      </c>
      <c r="H166">
        <v>214</v>
      </c>
      <c r="I166" t="s">
        <v>11</v>
      </c>
    </row>
    <row r="167" spans="1:9" x14ac:dyDescent="0.25">
      <c r="A167" t="s">
        <v>194</v>
      </c>
      <c r="B167">
        <v>18.684626999999999</v>
      </c>
      <c r="C167">
        <v>1.077</v>
      </c>
      <c r="E167">
        <v>46.4702538206868</v>
      </c>
      <c r="F167">
        <v>175628</v>
      </c>
      <c r="G167">
        <v>296.59300000000002</v>
      </c>
      <c r="H167">
        <v>221</v>
      </c>
      <c r="I167" t="s">
        <v>11</v>
      </c>
    </row>
    <row r="168" spans="1:9" x14ac:dyDescent="0.25">
      <c r="A168" t="s">
        <v>195</v>
      </c>
      <c r="B168">
        <v>18.765122999999999</v>
      </c>
      <c r="C168">
        <v>1.8520000000000001</v>
      </c>
      <c r="E168">
        <v>64.311273116409694</v>
      </c>
      <c r="F168">
        <v>950024</v>
      </c>
      <c r="G168">
        <v>1978.43</v>
      </c>
      <c r="H168">
        <v>210</v>
      </c>
      <c r="I168" t="s">
        <v>12</v>
      </c>
    </row>
    <row r="169" spans="1:9" x14ac:dyDescent="0.25">
      <c r="A169" t="s">
        <v>196</v>
      </c>
      <c r="B169">
        <v>19.26613</v>
      </c>
      <c r="C169">
        <v>2.8069999999999999</v>
      </c>
      <c r="E169">
        <v>45.841554359094403</v>
      </c>
      <c r="F169">
        <v>1316180</v>
      </c>
      <c r="G169">
        <v>2787.91</v>
      </c>
      <c r="H169">
        <v>212</v>
      </c>
      <c r="I169" t="s">
        <v>11</v>
      </c>
    </row>
    <row r="170" spans="1:9" x14ac:dyDescent="0.25">
      <c r="A170" t="s">
        <v>197</v>
      </c>
      <c r="B170">
        <v>19.275970999999998</v>
      </c>
      <c r="C170">
        <v>1.298</v>
      </c>
      <c r="E170">
        <v>0.98652309132862903</v>
      </c>
      <c r="F170">
        <v>1769146</v>
      </c>
      <c r="G170">
        <v>0.57606299999999999</v>
      </c>
      <c r="H170">
        <v>211</v>
      </c>
      <c r="I170" t="s">
        <v>11</v>
      </c>
    </row>
    <row r="171" spans="1:9" x14ac:dyDescent="0.25">
      <c r="A171" t="s">
        <v>198</v>
      </c>
      <c r="B171">
        <v>19.292650000000002</v>
      </c>
      <c r="C171">
        <v>2.4649999999999999</v>
      </c>
      <c r="E171">
        <v>86.258903788917493</v>
      </c>
      <c r="F171">
        <v>1924800</v>
      </c>
      <c r="G171">
        <v>5262.45</v>
      </c>
      <c r="H171">
        <v>210</v>
      </c>
      <c r="I171" t="s">
        <v>12</v>
      </c>
    </row>
    <row r="172" spans="1:9" x14ac:dyDescent="0.25">
      <c r="A172" t="s">
        <v>199</v>
      </c>
      <c r="B172">
        <v>19.310109000000001</v>
      </c>
      <c r="C172">
        <v>2.415</v>
      </c>
      <c r="E172">
        <v>41.855332240912198</v>
      </c>
      <c r="F172">
        <v>1331586</v>
      </c>
      <c r="G172">
        <v>2408.87</v>
      </c>
      <c r="H172">
        <v>212</v>
      </c>
      <c r="I172" t="s">
        <v>11</v>
      </c>
    </row>
    <row r="173" spans="1:9" x14ac:dyDescent="0.25">
      <c r="A173" t="s">
        <v>200</v>
      </c>
      <c r="B173">
        <v>19.342089000000001</v>
      </c>
      <c r="C173">
        <v>2.0449999999999999</v>
      </c>
      <c r="E173">
        <v>64.585493094338304</v>
      </c>
      <c r="F173">
        <v>1545092</v>
      </c>
      <c r="G173">
        <v>2498.04</v>
      </c>
      <c r="H173">
        <v>224</v>
      </c>
      <c r="I173" t="s">
        <v>12</v>
      </c>
    </row>
    <row r="174" spans="1:9" x14ac:dyDescent="0.25">
      <c r="A174" t="s">
        <v>201</v>
      </c>
      <c r="B174">
        <v>19.407882000000001</v>
      </c>
      <c r="C174">
        <v>2.6190000000000002</v>
      </c>
      <c r="E174">
        <v>89.689997659097699</v>
      </c>
      <c r="F174">
        <v>2352726</v>
      </c>
      <c r="G174">
        <v>6114.85</v>
      </c>
      <c r="H174">
        <v>210</v>
      </c>
      <c r="I174" t="s">
        <v>12</v>
      </c>
    </row>
    <row r="175" spans="1:9" x14ac:dyDescent="0.25">
      <c r="A175" t="s">
        <v>202</v>
      </c>
      <c r="B175">
        <v>19.880198</v>
      </c>
      <c r="C175">
        <v>2.1280000000000001</v>
      </c>
      <c r="E175">
        <v>51.218941243353498</v>
      </c>
      <c r="F175">
        <v>1378764</v>
      </c>
      <c r="G175">
        <v>1343.66</v>
      </c>
      <c r="H175">
        <v>221</v>
      </c>
      <c r="I175" t="s">
        <v>11</v>
      </c>
    </row>
    <row r="176" spans="1:9" x14ac:dyDescent="0.25">
      <c r="A176" t="s">
        <v>203</v>
      </c>
      <c r="B176">
        <v>19.892963999999999</v>
      </c>
      <c r="C176">
        <v>2.2679999999999998</v>
      </c>
      <c r="E176">
        <v>89.114804534661999</v>
      </c>
      <c r="F176">
        <v>2625814</v>
      </c>
      <c r="G176">
        <v>5919.88</v>
      </c>
      <c r="H176">
        <v>217</v>
      </c>
      <c r="I176" t="s">
        <v>12</v>
      </c>
    </row>
    <row r="177" spans="1:9" x14ac:dyDescent="0.25">
      <c r="A177" t="s">
        <v>204</v>
      </c>
      <c r="B177">
        <v>19.901297</v>
      </c>
      <c r="C177">
        <v>2.61</v>
      </c>
      <c r="E177">
        <v>69.966224124669694</v>
      </c>
      <c r="F177">
        <v>842342</v>
      </c>
      <c r="G177">
        <v>1397.4</v>
      </c>
      <c r="H177">
        <v>217</v>
      </c>
      <c r="I177" t="s">
        <v>12</v>
      </c>
    </row>
    <row r="178" spans="1:9" x14ac:dyDescent="0.25">
      <c r="A178" t="s">
        <v>205</v>
      </c>
      <c r="B178">
        <v>19.902076999999998</v>
      </c>
      <c r="C178">
        <v>2.8460000000000001</v>
      </c>
      <c r="E178">
        <v>65.180751095207796</v>
      </c>
      <c r="F178">
        <v>972480</v>
      </c>
      <c r="G178">
        <v>1219.97</v>
      </c>
      <c r="H178">
        <v>217</v>
      </c>
      <c r="I178" t="s">
        <v>12</v>
      </c>
    </row>
    <row r="179" spans="1:9" x14ac:dyDescent="0.25">
      <c r="A179" t="s">
        <v>206</v>
      </c>
      <c r="B179">
        <v>19.90521</v>
      </c>
      <c r="C179">
        <v>3.8559999999999999</v>
      </c>
      <c r="E179">
        <v>89.823763501989703</v>
      </c>
      <c r="F179">
        <v>1101690</v>
      </c>
      <c r="G179">
        <v>2922.42</v>
      </c>
      <c r="H179">
        <v>202</v>
      </c>
      <c r="I179" t="s">
        <v>12</v>
      </c>
    </row>
    <row r="180" spans="1:9" x14ac:dyDescent="0.25">
      <c r="A180" t="s">
        <v>207</v>
      </c>
      <c r="B180">
        <v>19.951477000000001</v>
      </c>
      <c r="C180">
        <v>1.891</v>
      </c>
      <c r="E180">
        <v>72.792027555763596</v>
      </c>
      <c r="F180">
        <v>1903298</v>
      </c>
      <c r="G180">
        <v>4376.83</v>
      </c>
      <c r="H180">
        <v>224</v>
      </c>
      <c r="I180" t="s">
        <v>12</v>
      </c>
    </row>
    <row r="181" spans="1:9" x14ac:dyDescent="0.25">
      <c r="A181" t="s">
        <v>208</v>
      </c>
      <c r="B181">
        <v>19.993220000000001</v>
      </c>
      <c r="C181">
        <v>1.893</v>
      </c>
      <c r="E181">
        <v>37.956057920609901</v>
      </c>
      <c r="F181">
        <v>589732</v>
      </c>
      <c r="G181">
        <v>514.82600000000002</v>
      </c>
      <c r="H181">
        <v>222</v>
      </c>
      <c r="I181" t="s">
        <v>11</v>
      </c>
    </row>
  </sheetData>
  <conditionalFormatting sqref="A1:A1048576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F7E6-EEB1-4A8A-AFE4-584A358A1CE0}">
  <dimension ref="A1:R121"/>
  <sheetViews>
    <sheetView topLeftCell="A58" workbookViewId="0">
      <selection activeCell="M10" sqref="M10"/>
    </sheetView>
  </sheetViews>
  <sheetFormatPr defaultRowHeight="15" x14ac:dyDescent="0.25"/>
  <cols>
    <col min="1" max="1" width="31" customWidth="1"/>
    <col min="2" max="2" width="24.28515625" customWidth="1"/>
    <col min="3" max="3" width="17.7109375" customWidth="1"/>
    <col min="4" max="4" width="23.42578125" customWidth="1"/>
    <col min="5" max="5" width="23" customWidth="1"/>
    <col min="6" max="6" width="31.42578125" customWidth="1"/>
    <col min="7" max="7" width="10.5703125" customWidth="1"/>
    <col min="8" max="8" width="20.140625" customWidth="1"/>
    <col min="16" max="16" width="16.85546875" customWidth="1"/>
    <col min="17" max="17" width="18.85546875" customWidth="1"/>
    <col min="18" max="18" width="17.28515625" customWidth="1"/>
  </cols>
  <sheetData>
    <row r="1" spans="1:18" x14ac:dyDescent="0.25">
      <c r="A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0</v>
      </c>
      <c r="L1" t="s">
        <v>13</v>
      </c>
      <c r="M1" t="s">
        <v>14</v>
      </c>
      <c r="N1" t="s">
        <v>15</v>
      </c>
      <c r="O1" t="s">
        <v>16</v>
      </c>
      <c r="P1" t="s">
        <v>9</v>
      </c>
      <c r="Q1" t="s">
        <v>17</v>
      </c>
      <c r="R1" t="s">
        <v>18</v>
      </c>
    </row>
    <row r="2" spans="1:18" x14ac:dyDescent="0.25">
      <c r="A2" s="2" t="s">
        <v>209</v>
      </c>
      <c r="B2" s="1">
        <v>20.194915000000002</v>
      </c>
      <c r="C2" s="1">
        <v>6.3209999999999997</v>
      </c>
      <c r="D2" s="1"/>
      <c r="E2" s="1">
        <v>73.390629702705397</v>
      </c>
      <c r="F2" s="1">
        <v>1224048</v>
      </c>
      <c r="G2" s="1">
        <v>2878.75</v>
      </c>
      <c r="H2" s="1">
        <v>211</v>
      </c>
      <c r="I2" s="3" t="s">
        <v>12</v>
      </c>
      <c r="L2">
        <f>COUNTIF(Table1[Column1],"A")</f>
        <v>12</v>
      </c>
      <c r="M2">
        <f>COUNTIF(Table1[Column1],"B")</f>
        <v>53</v>
      </c>
      <c r="N2">
        <f>SUM(L2:M2)</f>
        <v>65</v>
      </c>
      <c r="O2">
        <f>COUNTIF(Table1[Column1],"C")</f>
        <v>14</v>
      </c>
      <c r="P2">
        <f>(O2/(L2+M2+O2))*100</f>
        <v>17.721518987341771</v>
      </c>
      <c r="Q2">
        <f>(L2/(L2+M2+O2))*100</f>
        <v>15.18987341772152</v>
      </c>
      <c r="R2">
        <f>(N2/(N2+O2))*100</f>
        <v>82.278481012658233</v>
      </c>
    </row>
    <row r="3" spans="1:18" x14ac:dyDescent="0.25">
      <c r="A3" s="2" t="s">
        <v>210</v>
      </c>
      <c r="B3" s="1">
        <v>20.510724</v>
      </c>
      <c r="C3" s="1">
        <v>3.093</v>
      </c>
      <c r="D3" s="1"/>
      <c r="E3" s="1">
        <v>91.201551683777495</v>
      </c>
      <c r="F3" s="1">
        <v>1755236</v>
      </c>
      <c r="G3" s="1">
        <v>4043.81</v>
      </c>
      <c r="H3" s="1">
        <v>213</v>
      </c>
      <c r="I3" s="3" t="s">
        <v>10</v>
      </c>
    </row>
    <row r="4" spans="1:18" x14ac:dyDescent="0.25">
      <c r="A4" s="2" t="s">
        <v>211</v>
      </c>
      <c r="B4" s="1">
        <v>20.51153</v>
      </c>
      <c r="C4" s="1">
        <v>4.0279999999999996</v>
      </c>
      <c r="D4" s="1"/>
      <c r="E4" s="1">
        <v>55.078085810788203</v>
      </c>
      <c r="F4" s="1">
        <v>1828506</v>
      </c>
      <c r="G4" s="1">
        <v>4138.8900000000003</v>
      </c>
      <c r="H4" s="1">
        <v>212</v>
      </c>
      <c r="I4" s="3" t="s">
        <v>11</v>
      </c>
    </row>
    <row r="5" spans="1:18" x14ac:dyDescent="0.25">
      <c r="A5" s="2" t="s">
        <v>212</v>
      </c>
      <c r="B5" s="1">
        <v>20.518784</v>
      </c>
      <c r="C5" s="1">
        <v>4.1210000000000004</v>
      </c>
      <c r="D5" s="1"/>
      <c r="E5" s="1">
        <v>87.021369093402001</v>
      </c>
      <c r="F5" s="1">
        <v>1708460</v>
      </c>
      <c r="G5" s="1">
        <v>4496.08</v>
      </c>
      <c r="H5" s="1">
        <v>212</v>
      </c>
      <c r="I5" s="3" t="s">
        <v>12</v>
      </c>
    </row>
    <row r="6" spans="1:18" x14ac:dyDescent="0.25">
      <c r="A6" s="2" t="s">
        <v>213</v>
      </c>
      <c r="B6" s="1">
        <v>20.530068</v>
      </c>
      <c r="C6" s="1">
        <v>3.0150000000000001</v>
      </c>
      <c r="D6" s="1"/>
      <c r="E6" s="1">
        <v>51.683777547403203</v>
      </c>
      <c r="F6" s="1">
        <v>609698</v>
      </c>
      <c r="G6" s="1">
        <v>589.89400000000001</v>
      </c>
      <c r="H6" s="1">
        <v>214</v>
      </c>
      <c r="I6" s="3" t="s">
        <v>11</v>
      </c>
    </row>
    <row r="7" spans="1:18" x14ac:dyDescent="0.25">
      <c r="A7" s="2" t="s">
        <v>214</v>
      </c>
      <c r="B7" s="1">
        <v>20.541378000000002</v>
      </c>
      <c r="C7" s="1">
        <v>1.8129999999999999</v>
      </c>
      <c r="D7" s="1"/>
      <c r="E7" s="1">
        <v>75.233254188542901</v>
      </c>
      <c r="F7" s="1">
        <v>1484744</v>
      </c>
      <c r="G7" s="1">
        <v>3704.43</v>
      </c>
      <c r="H7" s="1">
        <v>210</v>
      </c>
      <c r="I7" s="3" t="s">
        <v>12</v>
      </c>
    </row>
    <row r="8" spans="1:18" x14ac:dyDescent="0.25">
      <c r="A8" s="2" t="s">
        <v>215</v>
      </c>
      <c r="B8" s="1">
        <v>20.550269999999998</v>
      </c>
      <c r="C8" s="1">
        <v>5.4550000000000001</v>
      </c>
      <c r="D8" s="1"/>
      <c r="E8" s="1">
        <v>82.269337524663001</v>
      </c>
      <c r="F8" s="1">
        <v>3535864</v>
      </c>
      <c r="G8" s="1">
        <v>6357</v>
      </c>
      <c r="H8" s="1">
        <v>213</v>
      </c>
      <c r="I8" s="3" t="s">
        <v>12</v>
      </c>
    </row>
    <row r="9" spans="1:18" x14ac:dyDescent="0.25">
      <c r="A9" s="2" t="s">
        <v>216</v>
      </c>
      <c r="B9" s="1">
        <v>20.585903000000002</v>
      </c>
      <c r="C9" s="1">
        <v>3.8610000000000002</v>
      </c>
      <c r="D9" s="1"/>
      <c r="E9" s="1">
        <v>70.110022405778594</v>
      </c>
      <c r="F9" s="1">
        <v>1387386</v>
      </c>
      <c r="G9" s="1">
        <v>3245.43</v>
      </c>
      <c r="H9" s="1">
        <v>212</v>
      </c>
      <c r="I9" s="3" t="s">
        <v>12</v>
      </c>
    </row>
    <row r="10" spans="1:18" x14ac:dyDescent="0.25">
      <c r="A10" s="2" t="s">
        <v>217</v>
      </c>
      <c r="B10" s="1">
        <v>20.651838999999999</v>
      </c>
      <c r="C10" s="1">
        <v>3.3090000000000002</v>
      </c>
      <c r="D10" s="1"/>
      <c r="E10" s="1">
        <v>81.085509815068704</v>
      </c>
      <c r="F10" s="1">
        <v>1482312</v>
      </c>
      <c r="G10" s="1">
        <v>3813.6</v>
      </c>
      <c r="H10" s="1">
        <v>209</v>
      </c>
      <c r="I10" s="3" t="s">
        <v>12</v>
      </c>
    </row>
    <row r="11" spans="1:18" x14ac:dyDescent="0.25">
      <c r="A11" s="2" t="s">
        <v>218</v>
      </c>
      <c r="B11" s="1">
        <v>21.139313000000001</v>
      </c>
      <c r="C11" s="1">
        <v>4.3620000000000001</v>
      </c>
      <c r="D11" s="1"/>
      <c r="E11" s="1">
        <v>78.547302946192602</v>
      </c>
      <c r="F11" s="1">
        <v>1779654</v>
      </c>
      <c r="G11" s="1">
        <v>3054.17</v>
      </c>
      <c r="H11" s="1">
        <v>213</v>
      </c>
      <c r="I11" s="3" t="s">
        <v>12</v>
      </c>
    </row>
    <row r="12" spans="1:18" x14ac:dyDescent="0.25">
      <c r="A12" s="2" t="s">
        <v>219</v>
      </c>
      <c r="B12" s="1">
        <v>21.182589999999998</v>
      </c>
      <c r="C12" s="1">
        <v>1.373</v>
      </c>
      <c r="D12" s="1"/>
      <c r="E12" s="1">
        <v>41.444002274019297</v>
      </c>
      <c r="F12" s="1">
        <v>1012490</v>
      </c>
      <c r="G12" s="1">
        <v>1708.97</v>
      </c>
      <c r="H12" s="1">
        <v>224</v>
      </c>
      <c r="I12" s="3" t="s">
        <v>11</v>
      </c>
    </row>
    <row r="13" spans="1:18" x14ac:dyDescent="0.25">
      <c r="A13" s="2" t="s">
        <v>220</v>
      </c>
      <c r="B13" s="1">
        <v>21.211814</v>
      </c>
      <c r="C13" s="1">
        <v>3.66</v>
      </c>
      <c r="D13" s="1"/>
      <c r="E13" s="1">
        <v>85.088452663612301</v>
      </c>
      <c r="F13" s="1">
        <v>1349942</v>
      </c>
      <c r="G13" s="1">
        <v>3543.63</v>
      </c>
      <c r="H13" s="1">
        <v>210</v>
      </c>
      <c r="I13" s="3" t="s">
        <v>12</v>
      </c>
    </row>
    <row r="14" spans="1:18" x14ac:dyDescent="0.25">
      <c r="A14" s="2" t="s">
        <v>221</v>
      </c>
      <c r="B14" s="1">
        <v>21.788871</v>
      </c>
      <c r="C14" s="1">
        <v>3.0910000000000002</v>
      </c>
      <c r="D14" s="1"/>
      <c r="E14" s="1">
        <v>86.610039126508994</v>
      </c>
      <c r="F14" s="1">
        <v>1053604</v>
      </c>
      <c r="G14" s="1">
        <v>2666.87</v>
      </c>
      <c r="H14" s="1">
        <v>210</v>
      </c>
      <c r="I14" s="3" t="s">
        <v>12</v>
      </c>
    </row>
    <row r="15" spans="1:18" x14ac:dyDescent="0.25">
      <c r="A15" s="2" t="s">
        <v>222</v>
      </c>
      <c r="B15" s="1">
        <v>21.84</v>
      </c>
      <c r="C15" s="1">
        <v>10.523999999999999</v>
      </c>
      <c r="D15" s="1"/>
      <c r="E15" s="1">
        <v>67.615289435842499</v>
      </c>
      <c r="F15" s="1">
        <v>1135822</v>
      </c>
      <c r="G15" s="1">
        <v>1438.05</v>
      </c>
      <c r="H15" s="1">
        <v>201</v>
      </c>
      <c r="I15" s="3" t="s">
        <v>12</v>
      </c>
    </row>
    <row r="16" spans="1:18" x14ac:dyDescent="0.25">
      <c r="A16" s="2" t="s">
        <v>223</v>
      </c>
      <c r="B16" s="1">
        <v>22.164155000000001</v>
      </c>
      <c r="C16" s="1">
        <v>2.415</v>
      </c>
      <c r="D16" s="1"/>
      <c r="E16" s="1">
        <v>98.090492592716402</v>
      </c>
      <c r="F16" s="1">
        <v>2453282</v>
      </c>
      <c r="G16" s="1">
        <v>6525.67</v>
      </c>
      <c r="H16" s="1">
        <v>217</v>
      </c>
      <c r="I16" s="3" t="s">
        <v>10</v>
      </c>
    </row>
    <row r="17" spans="1:9" x14ac:dyDescent="0.25">
      <c r="A17" s="2" t="s">
        <v>224</v>
      </c>
      <c r="B17" s="1">
        <v>22.366980999999999</v>
      </c>
      <c r="C17" s="1">
        <v>1.252</v>
      </c>
      <c r="D17" s="1"/>
      <c r="E17" s="1">
        <v>47.379861552352601</v>
      </c>
      <c r="F17" s="1">
        <v>806770</v>
      </c>
      <c r="G17" s="1">
        <v>1253.1199999999999</v>
      </c>
      <c r="H17" s="1">
        <v>224</v>
      </c>
      <c r="I17" s="3" t="s">
        <v>11</v>
      </c>
    </row>
    <row r="18" spans="1:9" x14ac:dyDescent="0.25">
      <c r="A18" s="2" t="s">
        <v>225</v>
      </c>
      <c r="B18" s="1">
        <v>22.388079999999999</v>
      </c>
      <c r="C18" s="1">
        <v>3.0579999999999998</v>
      </c>
      <c r="D18" s="1"/>
      <c r="E18" s="1">
        <v>90.131424940641395</v>
      </c>
      <c r="F18" s="1">
        <v>713928</v>
      </c>
      <c r="G18" s="1">
        <v>1863.57</v>
      </c>
      <c r="H18" s="1">
        <v>205</v>
      </c>
      <c r="I18" s="3" t="s">
        <v>10</v>
      </c>
    </row>
    <row r="19" spans="1:9" x14ac:dyDescent="0.25">
      <c r="A19" s="2" t="s">
        <v>226</v>
      </c>
      <c r="B19" s="1">
        <v>22.389834999999998</v>
      </c>
      <c r="C19" s="1">
        <v>1.9950000000000001</v>
      </c>
      <c r="D19" s="1"/>
      <c r="E19" s="1">
        <v>53.118416212420101</v>
      </c>
      <c r="F19" s="1">
        <v>736450</v>
      </c>
      <c r="G19" s="1">
        <v>918.21199999999999</v>
      </c>
      <c r="H19" s="1">
        <v>224</v>
      </c>
      <c r="I19" s="3" t="s">
        <v>11</v>
      </c>
    </row>
    <row r="20" spans="1:9" x14ac:dyDescent="0.25">
      <c r="A20" s="2" t="s">
        <v>227</v>
      </c>
      <c r="B20" s="1">
        <v>22.411999999999999</v>
      </c>
      <c r="C20" s="1">
        <v>7.2380000000000004</v>
      </c>
      <c r="D20" s="1"/>
      <c r="E20" s="1">
        <v>77.176203056549497</v>
      </c>
      <c r="F20" s="1">
        <v>1205130</v>
      </c>
      <c r="G20" s="1">
        <v>2549.67</v>
      </c>
      <c r="H20" s="1">
        <v>201</v>
      </c>
      <c r="I20" s="3" t="s">
        <v>12</v>
      </c>
    </row>
    <row r="21" spans="1:9" x14ac:dyDescent="0.25">
      <c r="A21" s="2" t="s">
        <v>228</v>
      </c>
      <c r="B21" s="1">
        <v>22.473737</v>
      </c>
      <c r="C21" s="1">
        <v>5.99</v>
      </c>
      <c r="D21" s="1"/>
      <c r="E21" s="1">
        <v>69.6752834163796</v>
      </c>
      <c r="F21" s="1">
        <v>888058</v>
      </c>
      <c r="G21" s="1">
        <v>1930.68</v>
      </c>
      <c r="H21" s="1">
        <v>204</v>
      </c>
      <c r="I21" s="3" t="s">
        <v>12</v>
      </c>
    </row>
    <row r="22" spans="1:9" x14ac:dyDescent="0.25">
      <c r="A22" s="2" t="s">
        <v>229</v>
      </c>
      <c r="B22" s="1">
        <v>23.016760000000001</v>
      </c>
      <c r="C22" s="1">
        <v>3.2759999999999998</v>
      </c>
      <c r="D22" s="1"/>
      <c r="E22" s="1">
        <v>78.149349563588899</v>
      </c>
      <c r="F22" s="1">
        <v>1000626</v>
      </c>
      <c r="G22" s="1">
        <v>2128.75</v>
      </c>
      <c r="H22" s="1">
        <v>210</v>
      </c>
      <c r="I22" s="3" t="s">
        <v>12</v>
      </c>
    </row>
    <row r="23" spans="1:9" x14ac:dyDescent="0.25">
      <c r="A23" s="2" t="s">
        <v>230</v>
      </c>
      <c r="B23" s="1">
        <v>23.023988000000003</v>
      </c>
      <c r="C23" s="1">
        <v>5.9770000000000003</v>
      </c>
      <c r="D23" s="1"/>
      <c r="E23" s="1">
        <v>87.512958566030093</v>
      </c>
      <c r="F23" s="1">
        <v>1631962</v>
      </c>
      <c r="G23" s="1">
        <v>3540.61</v>
      </c>
      <c r="H23" s="1">
        <v>211</v>
      </c>
      <c r="I23" s="3" t="s">
        <v>12</v>
      </c>
    </row>
    <row r="24" spans="1:9" x14ac:dyDescent="0.25">
      <c r="A24" s="2" t="s">
        <v>231</v>
      </c>
      <c r="B24" s="1">
        <v>23.029422</v>
      </c>
      <c r="C24" s="1">
        <v>3.5430000000000001</v>
      </c>
      <c r="D24" s="1"/>
      <c r="E24" s="1">
        <v>65.555295455305398</v>
      </c>
      <c r="F24" s="1">
        <v>1679206</v>
      </c>
      <c r="G24" s="1">
        <v>3862.62</v>
      </c>
      <c r="H24" s="1">
        <v>212</v>
      </c>
      <c r="I24" s="3" t="s">
        <v>12</v>
      </c>
    </row>
    <row r="25" spans="1:9" x14ac:dyDescent="0.25">
      <c r="A25" s="2" t="s">
        <v>232</v>
      </c>
      <c r="B25" s="1">
        <v>23.043019999999999</v>
      </c>
      <c r="C25" s="1">
        <v>1.8340000000000001</v>
      </c>
      <c r="D25" s="1"/>
      <c r="E25" s="1">
        <v>43.002374343711303</v>
      </c>
      <c r="F25" s="1">
        <v>1555986</v>
      </c>
      <c r="G25" s="1">
        <v>622.09799999999996</v>
      </c>
      <c r="H25" s="1">
        <v>221</v>
      </c>
      <c r="I25" s="3" t="s">
        <v>11</v>
      </c>
    </row>
    <row r="26" spans="1:9" x14ac:dyDescent="0.25">
      <c r="A26" s="2" t="s">
        <v>233</v>
      </c>
      <c r="B26" s="1">
        <v>23.057541000000001</v>
      </c>
      <c r="C26" s="1">
        <v>9.5389999999999997</v>
      </c>
      <c r="D26" s="1"/>
      <c r="E26" s="1">
        <v>96.063940072902298</v>
      </c>
      <c r="F26" s="1">
        <v>2626224</v>
      </c>
      <c r="G26" s="1">
        <v>7271.8</v>
      </c>
      <c r="H26" s="1">
        <v>211</v>
      </c>
      <c r="I26" s="3" t="s">
        <v>10</v>
      </c>
    </row>
    <row r="27" spans="1:9" x14ac:dyDescent="0.25">
      <c r="A27" s="2" t="s">
        <v>234</v>
      </c>
      <c r="B27" s="1">
        <v>23.111231</v>
      </c>
      <c r="C27" s="1">
        <v>2.052</v>
      </c>
      <c r="D27" s="1"/>
      <c r="E27" s="1">
        <v>73.444136039862201</v>
      </c>
      <c r="F27" s="1">
        <v>2222248</v>
      </c>
      <c r="G27" s="1">
        <v>2201.87</v>
      </c>
      <c r="H27" s="1">
        <v>220</v>
      </c>
      <c r="I27" s="3" t="s">
        <v>12</v>
      </c>
    </row>
    <row r="28" spans="1:9" x14ac:dyDescent="0.25">
      <c r="A28" s="2" t="s">
        <v>235</v>
      </c>
      <c r="B28" s="1">
        <v>23.117614</v>
      </c>
      <c r="C28" s="1">
        <v>2.7469999999999999</v>
      </c>
      <c r="D28" s="1"/>
      <c r="E28" s="1">
        <v>53.616693977192902</v>
      </c>
      <c r="F28" s="1">
        <v>1111474</v>
      </c>
      <c r="G28" s="1">
        <v>1038.02</v>
      </c>
      <c r="H28" s="1">
        <v>217</v>
      </c>
      <c r="I28" s="3" t="s">
        <v>11</v>
      </c>
    </row>
    <row r="29" spans="1:9" x14ac:dyDescent="0.25">
      <c r="A29" s="2" t="s">
        <v>236</v>
      </c>
      <c r="B29" s="1">
        <v>23.297885000000001</v>
      </c>
      <c r="C29" s="1">
        <v>0.84499999999999997</v>
      </c>
      <c r="D29" s="1"/>
      <c r="E29" s="1" t="s">
        <v>237</v>
      </c>
      <c r="F29" s="1" t="s">
        <v>237</v>
      </c>
      <c r="G29" s="1" t="s">
        <v>237</v>
      </c>
      <c r="H29" s="1">
        <v>216</v>
      </c>
      <c r="I29" s="3" t="s">
        <v>11</v>
      </c>
    </row>
    <row r="30" spans="1:9" x14ac:dyDescent="0.25">
      <c r="A30" s="2" t="s">
        <v>238</v>
      </c>
      <c r="B30" s="1">
        <v>23.4312</v>
      </c>
      <c r="C30" s="1">
        <v>3.9289999999999998</v>
      </c>
      <c r="D30" s="1"/>
      <c r="E30" s="1">
        <v>61.823228438618202</v>
      </c>
      <c r="F30" s="1">
        <v>663506</v>
      </c>
      <c r="G30" s="1">
        <v>686.87900000000002</v>
      </c>
      <c r="H30" s="1">
        <v>224</v>
      </c>
      <c r="I30" s="3" t="s">
        <v>12</v>
      </c>
    </row>
    <row r="31" spans="1:9" x14ac:dyDescent="0.25">
      <c r="A31" s="2" t="s">
        <v>239</v>
      </c>
      <c r="B31" s="1">
        <v>23.668138000000003</v>
      </c>
      <c r="C31" s="1">
        <v>1.643</v>
      </c>
      <c r="D31" s="1"/>
      <c r="E31" s="1">
        <v>70.357489215128894</v>
      </c>
      <c r="F31" s="1">
        <v>1153166</v>
      </c>
      <c r="G31" s="1">
        <v>2370.2199999999998</v>
      </c>
      <c r="H31" s="1">
        <v>222</v>
      </c>
      <c r="I31" s="3" t="s">
        <v>12</v>
      </c>
    </row>
    <row r="32" spans="1:9" x14ac:dyDescent="0.25">
      <c r="A32" s="2" t="s">
        <v>240</v>
      </c>
      <c r="B32" s="1">
        <v>23.715730999999998</v>
      </c>
      <c r="C32" s="1">
        <v>3.5510000000000002</v>
      </c>
      <c r="D32" s="1"/>
      <c r="E32" s="1">
        <v>88.660000668829198</v>
      </c>
      <c r="F32" s="1">
        <v>1781604</v>
      </c>
      <c r="G32" s="1">
        <v>4900.26</v>
      </c>
      <c r="H32" s="1">
        <v>210</v>
      </c>
      <c r="I32" s="3" t="s">
        <v>12</v>
      </c>
    </row>
    <row r="33" spans="1:9" x14ac:dyDescent="0.25">
      <c r="A33" s="2" t="s">
        <v>241</v>
      </c>
      <c r="B33" s="1">
        <v>24.214268000000001</v>
      </c>
      <c r="C33" s="1">
        <v>0.79300000000000004</v>
      </c>
      <c r="D33" s="1"/>
      <c r="E33" s="1">
        <v>71.133331103902606</v>
      </c>
      <c r="F33" s="1">
        <v>465280</v>
      </c>
      <c r="G33" s="1">
        <v>1213.0899999999999</v>
      </c>
      <c r="H33" s="1">
        <v>209</v>
      </c>
      <c r="I33" s="3" t="s">
        <v>12</v>
      </c>
    </row>
    <row r="34" spans="1:9" x14ac:dyDescent="0.25">
      <c r="A34" s="2" t="s">
        <v>242</v>
      </c>
      <c r="B34" s="1">
        <v>24.234235999999999</v>
      </c>
      <c r="C34" s="1">
        <v>2.6779999999999999</v>
      </c>
      <c r="D34" s="1"/>
      <c r="E34" s="1">
        <v>68.267397919941104</v>
      </c>
      <c r="F34" s="1">
        <v>691246</v>
      </c>
      <c r="G34" s="1">
        <v>799.23500000000001</v>
      </c>
      <c r="H34" s="1">
        <v>222</v>
      </c>
      <c r="I34" s="3" t="s">
        <v>12</v>
      </c>
    </row>
    <row r="35" spans="1:9" x14ac:dyDescent="0.25">
      <c r="A35" s="2" t="s">
        <v>243</v>
      </c>
      <c r="B35" s="1">
        <v>24.262810000000002</v>
      </c>
      <c r="C35" s="1">
        <v>6.1340000000000003</v>
      </c>
      <c r="D35" s="1"/>
      <c r="E35" s="1">
        <v>94.057452429522101</v>
      </c>
      <c r="F35" s="1">
        <v>1042000</v>
      </c>
      <c r="G35" s="1">
        <v>2395.71</v>
      </c>
      <c r="H35" s="1">
        <v>206</v>
      </c>
      <c r="I35" s="3" t="s">
        <v>10</v>
      </c>
    </row>
    <row r="36" spans="1:9" x14ac:dyDescent="0.25">
      <c r="A36" s="2" t="s">
        <v>244</v>
      </c>
      <c r="B36" s="1">
        <v>24.434747999999999</v>
      </c>
      <c r="C36" s="1">
        <v>3.4089999999999998</v>
      </c>
      <c r="D36" s="1"/>
      <c r="E36" s="1">
        <v>89.031200882854506</v>
      </c>
      <c r="F36" s="1">
        <v>1518924</v>
      </c>
      <c r="G36" s="1">
        <v>3887.33</v>
      </c>
      <c r="H36" s="1">
        <v>210</v>
      </c>
      <c r="I36" s="3" t="s">
        <v>12</v>
      </c>
    </row>
    <row r="37" spans="1:9" x14ac:dyDescent="0.25">
      <c r="A37" s="2" t="s">
        <v>245</v>
      </c>
      <c r="B37" s="1">
        <v>24.875643</v>
      </c>
      <c r="C37" s="1">
        <v>3.4060000000000001</v>
      </c>
      <c r="D37" s="1"/>
      <c r="E37" s="1">
        <v>85.091796809684595</v>
      </c>
      <c r="F37" s="1">
        <v>1226544</v>
      </c>
      <c r="G37" s="1">
        <v>3238.35</v>
      </c>
      <c r="H37" s="1">
        <v>212</v>
      </c>
      <c r="I37" s="3" t="s">
        <v>12</v>
      </c>
    </row>
    <row r="38" spans="1:9" x14ac:dyDescent="0.25">
      <c r="A38" s="2" t="s">
        <v>246</v>
      </c>
      <c r="B38" s="1">
        <v>24.885418999999999</v>
      </c>
      <c r="C38" s="1">
        <v>2.9769999999999999</v>
      </c>
      <c r="D38" s="1"/>
      <c r="E38" s="1">
        <v>87.349095408487401</v>
      </c>
      <c r="F38" s="1">
        <v>1516058</v>
      </c>
      <c r="G38" s="1">
        <v>3774.23</v>
      </c>
      <c r="H38" s="1">
        <v>210</v>
      </c>
      <c r="I38" s="3" t="s">
        <v>12</v>
      </c>
    </row>
    <row r="39" spans="1:9" x14ac:dyDescent="0.25">
      <c r="A39" s="2" t="s">
        <v>247</v>
      </c>
      <c r="B39" s="1">
        <v>24.898146000000001</v>
      </c>
      <c r="C39" s="1">
        <v>6.2969999999999997</v>
      </c>
      <c r="D39" s="1"/>
      <c r="E39" s="1">
        <v>76.273283617028397</v>
      </c>
      <c r="F39" s="1">
        <v>1100940</v>
      </c>
      <c r="G39" s="1">
        <v>1797.87</v>
      </c>
      <c r="H39" s="1">
        <v>203</v>
      </c>
      <c r="I39" s="3" t="s">
        <v>12</v>
      </c>
    </row>
    <row r="40" spans="1:9" x14ac:dyDescent="0.25">
      <c r="A40" s="2" t="s">
        <v>248</v>
      </c>
      <c r="B40" s="1">
        <v>24.900109</v>
      </c>
      <c r="C40" s="1">
        <v>2.1890000000000001</v>
      </c>
      <c r="D40" s="1"/>
      <c r="E40" s="1">
        <v>86.673577901882695</v>
      </c>
      <c r="F40" s="1">
        <v>1853090</v>
      </c>
      <c r="G40" s="1">
        <v>4864.6000000000004</v>
      </c>
      <c r="H40" s="1">
        <v>210</v>
      </c>
      <c r="I40" s="3" t="s">
        <v>12</v>
      </c>
    </row>
    <row r="41" spans="1:9" x14ac:dyDescent="0.25">
      <c r="A41" s="2" t="s">
        <v>249</v>
      </c>
      <c r="B41" s="1">
        <v>24.900109</v>
      </c>
      <c r="C41" s="1">
        <v>2.351</v>
      </c>
      <c r="D41" s="1"/>
      <c r="E41" s="1">
        <v>64.742667959736394</v>
      </c>
      <c r="F41" s="1">
        <v>1834482</v>
      </c>
      <c r="G41" s="1">
        <v>2377.2600000000002</v>
      </c>
      <c r="H41" s="1">
        <v>215</v>
      </c>
      <c r="I41" s="3" t="s">
        <v>12</v>
      </c>
    </row>
    <row r="42" spans="1:9" x14ac:dyDescent="0.25">
      <c r="A42" s="2"/>
      <c r="B42" s="1"/>
      <c r="C42" s="1"/>
      <c r="D42" s="1"/>
      <c r="E42" s="1"/>
      <c r="F42" s="1"/>
      <c r="G42" s="1"/>
      <c r="H42" s="1"/>
      <c r="I42" s="3"/>
    </row>
    <row r="43" spans="1:9" x14ac:dyDescent="0.25">
      <c r="A43" s="2" t="s">
        <v>250</v>
      </c>
      <c r="B43" s="1">
        <v>24.911860999999998</v>
      </c>
      <c r="C43" s="1">
        <v>0.14199999999999999</v>
      </c>
      <c r="D43" s="1"/>
      <c r="E43" s="1">
        <v>89.8572049627127</v>
      </c>
      <c r="F43" s="1">
        <v>1076516</v>
      </c>
      <c r="G43" s="1">
        <v>2989.35</v>
      </c>
      <c r="H43" s="1">
        <v>207</v>
      </c>
      <c r="I43" s="3" t="s">
        <v>12</v>
      </c>
    </row>
    <row r="44" spans="1:9" x14ac:dyDescent="0.25">
      <c r="A44" s="2" t="s">
        <v>251</v>
      </c>
      <c r="B44" s="1">
        <v>24.948183</v>
      </c>
      <c r="C44" s="1">
        <v>3.5</v>
      </c>
      <c r="D44" s="1"/>
      <c r="E44" s="1">
        <v>79.878273082968207</v>
      </c>
      <c r="F44" s="1">
        <v>2056786</v>
      </c>
      <c r="G44" s="1">
        <v>5036.47</v>
      </c>
      <c r="H44" s="1">
        <v>213</v>
      </c>
      <c r="I44" s="1" t="s">
        <v>12</v>
      </c>
    </row>
    <row r="45" spans="1:9" x14ac:dyDescent="0.25">
      <c r="A45" t="s">
        <v>252</v>
      </c>
      <c r="B45" s="3">
        <v>25.504049999999999</v>
      </c>
      <c r="C45" s="3">
        <v>2.1240000000000001</v>
      </c>
      <c r="D45" s="3"/>
      <c r="E45" s="3">
        <v>82.610440424037705</v>
      </c>
      <c r="F45" s="3">
        <v>2022358</v>
      </c>
      <c r="G45" s="3">
        <v>2771.54</v>
      </c>
      <c r="H45" s="3">
        <v>220</v>
      </c>
      <c r="I45" s="3" t="s">
        <v>12</v>
      </c>
    </row>
    <row r="46" spans="1:9" x14ac:dyDescent="0.25">
      <c r="A46" t="s">
        <v>253</v>
      </c>
      <c r="B46" s="3">
        <v>25.519091</v>
      </c>
      <c r="C46" s="3">
        <v>2.242</v>
      </c>
      <c r="D46" s="3"/>
      <c r="E46" s="3">
        <v>59.970571514563701</v>
      </c>
      <c r="F46" s="3">
        <v>823900</v>
      </c>
      <c r="G46" s="3">
        <v>1216.4000000000001</v>
      </c>
      <c r="H46" s="3">
        <v>222</v>
      </c>
      <c r="I46" s="3" t="s">
        <v>11</v>
      </c>
    </row>
    <row r="47" spans="1:9" x14ac:dyDescent="0.25">
      <c r="A47" t="s">
        <v>254</v>
      </c>
      <c r="B47" s="3">
        <v>25.527124999999998</v>
      </c>
      <c r="C47" s="3">
        <v>1.016</v>
      </c>
      <c r="D47" s="3"/>
      <c r="E47" s="3">
        <v>80.062201116944706</v>
      </c>
      <c r="F47" s="3">
        <v>1617998</v>
      </c>
      <c r="G47" s="3">
        <v>4585.92</v>
      </c>
      <c r="H47" s="3">
        <v>209</v>
      </c>
      <c r="I47" s="3" t="s">
        <v>12</v>
      </c>
    </row>
    <row r="48" spans="1:9" x14ac:dyDescent="0.25">
      <c r="A48" t="s">
        <v>255</v>
      </c>
      <c r="B48" s="3">
        <v>25.530141</v>
      </c>
      <c r="C48" s="3">
        <v>2.8220000000000001</v>
      </c>
      <c r="D48" s="3"/>
      <c r="E48" s="3">
        <v>57.756746814700797</v>
      </c>
      <c r="F48" s="3">
        <v>1124040</v>
      </c>
      <c r="G48" s="3">
        <v>1682.7</v>
      </c>
      <c r="H48" s="3">
        <v>214</v>
      </c>
      <c r="I48" s="3" t="s">
        <v>11</v>
      </c>
    </row>
    <row r="49" spans="1:9" x14ac:dyDescent="0.25">
      <c r="A49" t="s">
        <v>256</v>
      </c>
      <c r="B49" s="3">
        <v>25.549237999999999</v>
      </c>
      <c r="C49" s="3">
        <v>1.381</v>
      </c>
      <c r="D49" s="3"/>
      <c r="E49" s="3">
        <v>33.066916362906703</v>
      </c>
      <c r="F49" s="3">
        <v>978204</v>
      </c>
      <c r="G49" s="3">
        <v>1632.65</v>
      </c>
      <c r="H49" s="3">
        <v>207</v>
      </c>
      <c r="I49" s="3" t="s">
        <v>11</v>
      </c>
    </row>
    <row r="50" spans="1:9" x14ac:dyDescent="0.25">
      <c r="A50" t="s">
        <v>257</v>
      </c>
      <c r="B50" s="3">
        <v>25.571000000000002</v>
      </c>
      <c r="C50" s="3">
        <v>9.7669999999999995</v>
      </c>
      <c r="D50" s="3"/>
      <c r="E50" s="3">
        <v>87.419322476005703</v>
      </c>
      <c r="F50" s="3">
        <v>1593200</v>
      </c>
      <c r="G50" s="3">
        <v>3584.24</v>
      </c>
      <c r="H50" s="3">
        <v>201</v>
      </c>
      <c r="I50" s="3" t="s">
        <v>12</v>
      </c>
    </row>
    <row r="51" spans="1:9" x14ac:dyDescent="0.25">
      <c r="A51" t="s">
        <v>258</v>
      </c>
      <c r="B51" s="3">
        <v>26.078442000000003</v>
      </c>
      <c r="C51" s="3">
        <v>1.4059999999999999</v>
      </c>
      <c r="D51" s="3"/>
      <c r="E51" s="3">
        <v>68.859311774738302</v>
      </c>
      <c r="F51" s="3">
        <v>1290918</v>
      </c>
      <c r="G51" s="3">
        <v>2863.06</v>
      </c>
      <c r="H51" s="3">
        <v>210</v>
      </c>
      <c r="I51" s="3" t="s">
        <v>12</v>
      </c>
    </row>
    <row r="52" spans="1:9" x14ac:dyDescent="0.25">
      <c r="A52" t="s">
        <v>259</v>
      </c>
      <c r="B52" s="3">
        <v>26.129999999999995</v>
      </c>
      <c r="C52" s="3">
        <v>3.7509999999999999</v>
      </c>
      <c r="D52" s="3"/>
      <c r="E52" s="3">
        <v>87.763769521452701</v>
      </c>
      <c r="F52" s="3">
        <v>849288</v>
      </c>
      <c r="G52" s="3">
        <v>1996.34</v>
      </c>
      <c r="H52" s="3">
        <v>201</v>
      </c>
      <c r="I52" s="3" t="s">
        <v>12</v>
      </c>
    </row>
    <row r="53" spans="1:9" x14ac:dyDescent="0.25">
      <c r="A53" t="s">
        <v>260</v>
      </c>
      <c r="B53" s="3">
        <v>26.157456000000003</v>
      </c>
      <c r="C53" s="3">
        <v>0.98799999999999999</v>
      </c>
      <c r="D53" s="3"/>
      <c r="E53" s="3">
        <v>73.567869444537294</v>
      </c>
      <c r="F53" s="3">
        <v>427644</v>
      </c>
      <c r="G53" s="3">
        <v>109.33499999999999</v>
      </c>
      <c r="H53" s="3">
        <v>202</v>
      </c>
      <c r="I53" s="3" t="s">
        <v>12</v>
      </c>
    </row>
    <row r="54" spans="1:9" x14ac:dyDescent="0.25">
      <c r="A54" t="s">
        <v>261</v>
      </c>
      <c r="B54" s="3">
        <v>26.160550000000001</v>
      </c>
      <c r="C54" s="3">
        <v>4.0650000000000004</v>
      </c>
      <c r="D54" s="3"/>
      <c r="E54" s="3">
        <v>60.508979032204103</v>
      </c>
      <c r="F54" s="3">
        <v>1647622</v>
      </c>
      <c r="G54" s="3">
        <v>3820.88</v>
      </c>
      <c r="H54" s="3">
        <v>212</v>
      </c>
      <c r="I54" s="3" t="s">
        <v>12</v>
      </c>
    </row>
    <row r="55" spans="1:9" x14ac:dyDescent="0.25">
      <c r="A55" t="s">
        <v>262</v>
      </c>
      <c r="B55" s="3">
        <v>26.163630999999999</v>
      </c>
      <c r="C55" s="3">
        <v>5.2869999999999999</v>
      </c>
      <c r="D55" s="3"/>
      <c r="E55" s="3">
        <v>79.038892418820794</v>
      </c>
      <c r="F55" s="3">
        <v>970310</v>
      </c>
      <c r="G55" s="3">
        <v>2237.67</v>
      </c>
      <c r="H55" s="3">
        <v>204</v>
      </c>
      <c r="I55" s="3" t="s">
        <v>12</v>
      </c>
    </row>
    <row r="56" spans="1:9" x14ac:dyDescent="0.25">
      <c r="A56" t="s">
        <v>263</v>
      </c>
      <c r="B56" s="3">
        <v>26.364000000000001</v>
      </c>
      <c r="C56" s="3">
        <v>4.0410000000000004</v>
      </c>
      <c r="D56" s="3"/>
      <c r="E56" s="3">
        <v>85.730528709493996</v>
      </c>
      <c r="F56" s="3">
        <v>475926</v>
      </c>
      <c r="G56" s="3">
        <v>947.06299999999999</v>
      </c>
      <c r="H56" s="3">
        <v>201</v>
      </c>
      <c r="I56" s="3" t="s">
        <v>12</v>
      </c>
    </row>
    <row r="57" spans="1:9" x14ac:dyDescent="0.25">
      <c r="A57" t="s">
        <v>264</v>
      </c>
      <c r="B57" s="3">
        <v>26.743951000000003</v>
      </c>
      <c r="C57" s="3">
        <v>2.6549999999999998</v>
      </c>
      <c r="D57" s="3"/>
      <c r="E57" s="3">
        <v>55.211851653680199</v>
      </c>
      <c r="F57" s="3">
        <v>792170</v>
      </c>
      <c r="G57" s="3">
        <v>1526.51</v>
      </c>
      <c r="H57" s="3">
        <v>214</v>
      </c>
      <c r="I57" s="3" t="s">
        <v>11</v>
      </c>
    </row>
    <row r="58" spans="1:9" x14ac:dyDescent="0.25">
      <c r="A58" t="s">
        <v>265</v>
      </c>
      <c r="B58" s="3">
        <v>26.743951000000003</v>
      </c>
      <c r="C58" s="3">
        <v>4.9459999999999997</v>
      </c>
      <c r="D58" s="3"/>
      <c r="E58" s="3">
        <v>85.255659967227302</v>
      </c>
      <c r="F58" s="3">
        <v>1107692</v>
      </c>
      <c r="G58" s="3">
        <v>2574.37</v>
      </c>
      <c r="H58" s="3">
        <v>213</v>
      </c>
      <c r="I58" s="3" t="s">
        <v>12</v>
      </c>
    </row>
    <row r="59" spans="1:9" x14ac:dyDescent="0.25">
      <c r="A59" t="s">
        <v>266</v>
      </c>
      <c r="B59" s="3">
        <v>26.787111000000003</v>
      </c>
      <c r="C59" s="3">
        <v>7.2430000000000003</v>
      </c>
      <c r="D59" s="3"/>
      <c r="E59" s="3">
        <v>94.706216767548398</v>
      </c>
      <c r="F59" s="3">
        <v>1177834</v>
      </c>
      <c r="G59" s="3">
        <v>3035.87</v>
      </c>
      <c r="H59" s="3">
        <v>211</v>
      </c>
      <c r="I59" s="3" t="s">
        <v>10</v>
      </c>
    </row>
    <row r="60" spans="1:9" x14ac:dyDescent="0.25">
      <c r="A60" t="s">
        <v>267</v>
      </c>
      <c r="B60" s="3">
        <v>27.39659</v>
      </c>
      <c r="C60" s="3">
        <v>4.6740000000000004</v>
      </c>
      <c r="D60" s="3"/>
      <c r="E60" s="3">
        <v>68.939571280473501</v>
      </c>
      <c r="F60" s="3">
        <v>1182000</v>
      </c>
      <c r="G60" s="3">
        <v>2695.02</v>
      </c>
      <c r="H60" s="3">
        <v>207</v>
      </c>
      <c r="I60" s="3" t="s">
        <v>12</v>
      </c>
    </row>
    <row r="61" spans="1:9" x14ac:dyDescent="0.25">
      <c r="A61" t="s">
        <v>268</v>
      </c>
      <c r="B61" s="3">
        <v>27.403051000000001</v>
      </c>
      <c r="C61" s="3">
        <v>2.0510000000000002</v>
      </c>
      <c r="D61" s="3"/>
      <c r="E61" s="3">
        <v>76.818379426813294</v>
      </c>
      <c r="F61" s="3">
        <v>2049142</v>
      </c>
      <c r="G61" s="3">
        <v>5054.4399999999996</v>
      </c>
      <c r="H61" s="3">
        <v>224</v>
      </c>
      <c r="I61" s="3" t="s">
        <v>12</v>
      </c>
    </row>
    <row r="62" spans="1:9" x14ac:dyDescent="0.25">
      <c r="A62" t="s">
        <v>269</v>
      </c>
      <c r="B62" s="3">
        <v>27.419236000000001</v>
      </c>
      <c r="C62" s="3">
        <v>0.121</v>
      </c>
      <c r="D62" s="3"/>
      <c r="E62" s="3">
        <v>92.786676922047903</v>
      </c>
      <c r="F62" s="3">
        <v>1313432</v>
      </c>
      <c r="G62" s="3">
        <v>3312.21</v>
      </c>
      <c r="H62" s="3">
        <v>213</v>
      </c>
      <c r="I62" s="3" t="s">
        <v>10</v>
      </c>
    </row>
    <row r="63" spans="1:9" x14ac:dyDescent="0.25">
      <c r="A63" t="s">
        <v>270</v>
      </c>
      <c r="B63" s="3">
        <v>27.447341999999999</v>
      </c>
      <c r="C63" s="3">
        <v>7.8029999999999999</v>
      </c>
      <c r="D63" s="3"/>
      <c r="E63" s="3">
        <v>93.846771226967107</v>
      </c>
      <c r="F63" s="3">
        <v>882552</v>
      </c>
      <c r="G63" s="3">
        <v>2253.44</v>
      </c>
      <c r="H63" s="3">
        <v>207</v>
      </c>
      <c r="I63" s="3" t="s">
        <v>10</v>
      </c>
    </row>
    <row r="64" spans="1:9" x14ac:dyDescent="0.25">
      <c r="A64" t="s">
        <v>271</v>
      </c>
      <c r="B64" s="3">
        <v>27.601703999999998</v>
      </c>
      <c r="C64" s="3">
        <v>2.7229999999999999</v>
      </c>
      <c r="D64" s="3"/>
      <c r="E64" s="3">
        <v>89.131525265023498</v>
      </c>
      <c r="F64" s="3">
        <v>3150946</v>
      </c>
      <c r="G64" s="3">
        <v>7145.44</v>
      </c>
      <c r="H64" s="3">
        <v>216</v>
      </c>
      <c r="I64" s="3" t="s">
        <v>12</v>
      </c>
    </row>
    <row r="65" spans="1:9" x14ac:dyDescent="0.25">
      <c r="A65" t="s">
        <v>272</v>
      </c>
      <c r="B65" s="3">
        <v>27.614950999999998</v>
      </c>
      <c r="C65" s="3">
        <v>5.5010000000000003</v>
      </c>
      <c r="D65" s="3"/>
      <c r="E65" s="3">
        <v>83.265893054208604</v>
      </c>
      <c r="F65" s="3">
        <v>1115136</v>
      </c>
      <c r="G65" s="3">
        <v>2393.5500000000002</v>
      </c>
      <c r="H65" s="3">
        <v>211</v>
      </c>
      <c r="I65" s="3" t="s">
        <v>12</v>
      </c>
    </row>
    <row r="66" spans="1:9" x14ac:dyDescent="0.25">
      <c r="A66" t="s">
        <v>273</v>
      </c>
      <c r="B66" s="3">
        <v>27.953795999999997</v>
      </c>
      <c r="C66" s="3">
        <v>2.7759999999999998</v>
      </c>
      <c r="D66" s="3"/>
      <c r="E66" s="3">
        <v>70.324047754405896</v>
      </c>
      <c r="F66" s="3">
        <v>603562</v>
      </c>
      <c r="G66" s="3">
        <v>1256.54</v>
      </c>
      <c r="H66" s="3">
        <v>205</v>
      </c>
      <c r="I66" s="3" t="s">
        <v>12</v>
      </c>
    </row>
    <row r="67" spans="1:9" x14ac:dyDescent="0.25">
      <c r="A67" t="s">
        <v>274</v>
      </c>
      <c r="B67" s="3">
        <v>27.977962999999999</v>
      </c>
      <c r="C67" s="3">
        <v>1.264</v>
      </c>
      <c r="D67" s="3"/>
      <c r="E67" s="3">
        <v>40.373875530883097</v>
      </c>
      <c r="F67" s="3">
        <v>1890292</v>
      </c>
      <c r="G67" s="3">
        <v>2645.61</v>
      </c>
      <c r="H67" s="3">
        <v>221</v>
      </c>
      <c r="I67" s="3" t="s">
        <v>11</v>
      </c>
    </row>
    <row r="68" spans="1:9" x14ac:dyDescent="0.25">
      <c r="A68" t="s">
        <v>275</v>
      </c>
      <c r="B68" s="3">
        <v>28.001051</v>
      </c>
      <c r="C68" s="3">
        <v>2.0859999999999999</v>
      </c>
      <c r="D68" s="3"/>
      <c r="E68" s="3">
        <v>82.623817008326895</v>
      </c>
      <c r="F68" s="3">
        <v>1811216</v>
      </c>
      <c r="G68" s="3">
        <v>4115.2299999999996</v>
      </c>
      <c r="H68" s="3">
        <v>217</v>
      </c>
      <c r="I68" s="3" t="s">
        <v>12</v>
      </c>
    </row>
    <row r="69" spans="1:9" x14ac:dyDescent="0.25">
      <c r="A69" t="s">
        <v>276</v>
      </c>
      <c r="B69" s="3">
        <v>28.039648000000003</v>
      </c>
      <c r="C69" s="3">
        <v>3.2789999999999999</v>
      </c>
      <c r="D69" s="3"/>
      <c r="E69" s="3">
        <v>61.127646055579703</v>
      </c>
      <c r="F69" s="3">
        <v>837778</v>
      </c>
      <c r="G69" s="3">
        <v>1703.74</v>
      </c>
      <c r="H69" s="3">
        <v>204</v>
      </c>
      <c r="I69" s="3" t="s">
        <v>12</v>
      </c>
    </row>
    <row r="70" spans="1:9" x14ac:dyDescent="0.25">
      <c r="A70" t="s">
        <v>277</v>
      </c>
      <c r="B70" s="3">
        <v>28.052894999999999</v>
      </c>
      <c r="C70" s="3">
        <v>2.012</v>
      </c>
      <c r="D70" s="3"/>
      <c r="E70" s="3">
        <v>88.756980904925896</v>
      </c>
      <c r="F70" s="3">
        <v>2082038</v>
      </c>
      <c r="G70" s="3">
        <v>4855.59</v>
      </c>
      <c r="H70" s="3">
        <v>217</v>
      </c>
      <c r="I70" s="3" t="s">
        <v>12</v>
      </c>
    </row>
    <row r="71" spans="1:9" x14ac:dyDescent="0.25">
      <c r="A71" t="s">
        <v>278</v>
      </c>
      <c r="B71" s="3">
        <v>28.094950000000001</v>
      </c>
      <c r="C71" s="3">
        <v>3.9780000000000002</v>
      </c>
      <c r="D71" s="3"/>
      <c r="E71" s="3">
        <v>59.920409323479198</v>
      </c>
      <c r="F71" s="3">
        <v>1142676</v>
      </c>
      <c r="G71" s="3">
        <v>2348.92</v>
      </c>
      <c r="H71" s="3">
        <v>212</v>
      </c>
      <c r="I71" s="3" t="s">
        <v>11</v>
      </c>
    </row>
    <row r="72" spans="1:9" x14ac:dyDescent="0.25">
      <c r="A72" t="s">
        <v>279</v>
      </c>
      <c r="B72" s="3">
        <v>28.597998</v>
      </c>
      <c r="C72" s="3">
        <v>0.36499999999999999</v>
      </c>
      <c r="D72" s="3"/>
      <c r="E72" s="3">
        <v>92.816774236698606</v>
      </c>
      <c r="F72" s="3">
        <v>815916</v>
      </c>
      <c r="G72" s="3">
        <v>2113.31</v>
      </c>
      <c r="H72" s="3">
        <v>207</v>
      </c>
      <c r="I72" s="3" t="s">
        <v>10</v>
      </c>
    </row>
    <row r="73" spans="1:9" x14ac:dyDescent="0.25">
      <c r="A73" s="2" t="s">
        <v>280</v>
      </c>
      <c r="B73" s="1">
        <v>28.611491999999998</v>
      </c>
      <c r="C73" s="1">
        <v>3.875</v>
      </c>
      <c r="D73" s="1"/>
      <c r="E73" s="1">
        <v>91.539310437079806</v>
      </c>
      <c r="F73" s="1">
        <v>1251504</v>
      </c>
      <c r="G73" s="1">
        <v>3132.26</v>
      </c>
      <c r="H73" s="1">
        <v>205</v>
      </c>
      <c r="I73" s="1" t="s">
        <v>10</v>
      </c>
    </row>
    <row r="74" spans="1:9" x14ac:dyDescent="0.25">
      <c r="A74" t="s">
        <v>281</v>
      </c>
      <c r="B74" s="3">
        <v>28.621618999999999</v>
      </c>
      <c r="C74" s="3">
        <v>2.286</v>
      </c>
      <c r="D74" s="3"/>
      <c r="E74" s="3">
        <v>79.664247734341004</v>
      </c>
      <c r="F74" s="3">
        <v>1344408</v>
      </c>
      <c r="G74" s="3">
        <v>3484.1</v>
      </c>
      <c r="H74" s="3">
        <v>210</v>
      </c>
      <c r="I74" s="3" t="s">
        <v>12</v>
      </c>
    </row>
    <row r="75" spans="1:9" x14ac:dyDescent="0.25">
      <c r="A75" t="s">
        <v>282</v>
      </c>
      <c r="B75" s="3">
        <v>28.638999999999999</v>
      </c>
      <c r="C75" s="3">
        <v>5.3940000000000001</v>
      </c>
      <c r="D75" s="3"/>
      <c r="E75" s="3">
        <v>90.255158345316502</v>
      </c>
      <c r="F75" s="3">
        <v>1254996</v>
      </c>
      <c r="G75" s="3">
        <v>3290.9</v>
      </c>
      <c r="H75" s="3">
        <v>201</v>
      </c>
      <c r="I75" s="3" t="s">
        <v>10</v>
      </c>
    </row>
    <row r="76" spans="1:9" x14ac:dyDescent="0.25">
      <c r="A76" t="s">
        <v>283</v>
      </c>
      <c r="B76" s="3">
        <v>28.643003999999998</v>
      </c>
      <c r="C76" s="3">
        <v>4.4800000000000004</v>
      </c>
      <c r="D76" s="3"/>
      <c r="E76" s="3">
        <v>80.252817443065894</v>
      </c>
      <c r="F76" s="3">
        <v>1249628</v>
      </c>
      <c r="G76" s="3">
        <v>3125.21</v>
      </c>
      <c r="H76" s="3">
        <v>202</v>
      </c>
      <c r="I76" s="3" t="s">
        <v>12</v>
      </c>
    </row>
    <row r="77" spans="1:9" x14ac:dyDescent="0.25">
      <c r="A77" t="s">
        <v>284</v>
      </c>
      <c r="B77" s="3">
        <v>28.989739999999998</v>
      </c>
      <c r="C77" s="3">
        <v>4.78</v>
      </c>
      <c r="D77" s="3"/>
      <c r="E77" s="3">
        <v>81.804501220613304</v>
      </c>
      <c r="F77" s="3">
        <v>1266238</v>
      </c>
      <c r="G77" s="3">
        <v>3399.41</v>
      </c>
      <c r="H77" s="3">
        <v>202</v>
      </c>
      <c r="I77" s="3" t="s">
        <v>12</v>
      </c>
    </row>
    <row r="78" spans="1:9" x14ac:dyDescent="0.25">
      <c r="A78" t="s">
        <v>285</v>
      </c>
      <c r="B78" s="3">
        <v>29.289000000000001</v>
      </c>
      <c r="C78" s="3">
        <v>9.9960000000000004</v>
      </c>
      <c r="D78" s="3"/>
      <c r="E78" s="3">
        <v>98.508510851753996</v>
      </c>
      <c r="F78" s="3">
        <v>2250412</v>
      </c>
      <c r="G78" s="3">
        <v>5737.96</v>
      </c>
      <c r="H78" s="3">
        <v>201</v>
      </c>
      <c r="I78" s="3" t="s">
        <v>10</v>
      </c>
    </row>
    <row r="79" spans="1:9" x14ac:dyDescent="0.25">
      <c r="A79" t="s">
        <v>286</v>
      </c>
      <c r="B79" s="3">
        <v>29.302</v>
      </c>
      <c r="C79" s="3">
        <v>8.8979999999999997</v>
      </c>
      <c r="D79" s="3"/>
      <c r="E79" s="3">
        <v>77.577500585225494</v>
      </c>
      <c r="F79" s="3">
        <v>1759828</v>
      </c>
      <c r="G79" s="3">
        <v>3519.79</v>
      </c>
      <c r="H79" s="3">
        <v>201</v>
      </c>
      <c r="I79" s="3" t="s">
        <v>12</v>
      </c>
    </row>
    <row r="80" spans="1:9" x14ac:dyDescent="0.25">
      <c r="A80" t="s">
        <v>287</v>
      </c>
      <c r="B80" s="3">
        <v>29.841396</v>
      </c>
      <c r="C80" s="3">
        <v>1.88</v>
      </c>
      <c r="D80" s="3"/>
      <c r="E80" s="3">
        <v>63.846436812359897</v>
      </c>
      <c r="F80" s="3">
        <v>1467486</v>
      </c>
      <c r="G80" s="3">
        <v>3232.6</v>
      </c>
      <c r="H80" s="3">
        <v>222</v>
      </c>
      <c r="I80" s="3" t="s">
        <v>12</v>
      </c>
    </row>
    <row r="81" spans="1:9" x14ac:dyDescent="0.25">
      <c r="A81" t="s">
        <v>288</v>
      </c>
      <c r="B81" s="3">
        <v>29.942549</v>
      </c>
      <c r="C81" s="3">
        <v>5.4269999999999996</v>
      </c>
      <c r="D81" s="3"/>
      <c r="E81" s="3">
        <v>65.501789118148594</v>
      </c>
      <c r="F81" s="3">
        <v>1608200</v>
      </c>
      <c r="G81" s="3">
        <v>2216.29</v>
      </c>
      <c r="H81" s="3">
        <v>214</v>
      </c>
      <c r="I81" s="3" t="s">
        <v>12</v>
      </c>
    </row>
    <row r="82" spans="1:9" x14ac:dyDescent="0.25">
      <c r="B82" s="3"/>
      <c r="C82" s="3"/>
      <c r="D82" s="3"/>
      <c r="E82" s="3"/>
      <c r="F82" s="3"/>
      <c r="G82" s="3"/>
      <c r="H82" s="3"/>
      <c r="I82" s="3"/>
    </row>
    <row r="83" spans="1:9" x14ac:dyDescent="0.25">
      <c r="B83" s="3"/>
      <c r="C83" s="3"/>
      <c r="D83" s="3"/>
      <c r="E83" s="3"/>
      <c r="F83" s="3"/>
      <c r="G83" s="3"/>
      <c r="H83" s="3"/>
      <c r="I83" s="3"/>
    </row>
    <row r="84" spans="1:9" x14ac:dyDescent="0.25">
      <c r="B84" s="3"/>
      <c r="C84" s="3"/>
      <c r="D84" s="3"/>
      <c r="E84" s="3"/>
      <c r="F84" s="3"/>
      <c r="G84" s="3"/>
      <c r="H84" s="3"/>
      <c r="I84" s="3"/>
    </row>
    <row r="85" spans="1:9" x14ac:dyDescent="0.25">
      <c r="B85" s="3"/>
      <c r="C85" s="3"/>
      <c r="D85" s="3"/>
      <c r="E85" s="3"/>
      <c r="F85" s="3"/>
      <c r="G85" s="3"/>
      <c r="H85" s="3"/>
      <c r="I85" s="3"/>
    </row>
    <row r="86" spans="1:9" x14ac:dyDescent="0.25">
      <c r="B86" s="3"/>
      <c r="C86" s="3"/>
      <c r="D86" s="3"/>
      <c r="E86" s="3"/>
      <c r="F86" s="3"/>
      <c r="G86" s="3"/>
      <c r="H86" s="3"/>
      <c r="I86" s="3"/>
    </row>
    <row r="87" spans="1:9" x14ac:dyDescent="0.25">
      <c r="B87" s="3"/>
      <c r="C87" s="3"/>
      <c r="D87" s="3"/>
      <c r="E87" s="3"/>
      <c r="F87" s="3"/>
      <c r="G87" s="3"/>
      <c r="H87" s="3"/>
      <c r="I87" s="3"/>
    </row>
    <row r="88" spans="1:9" x14ac:dyDescent="0.25">
      <c r="B88" s="3"/>
      <c r="C88" s="3"/>
      <c r="D88" s="3"/>
      <c r="E88" s="3"/>
      <c r="F88" s="3"/>
      <c r="G88" s="3"/>
      <c r="H88" s="3"/>
      <c r="I88" s="3"/>
    </row>
    <row r="89" spans="1:9" x14ac:dyDescent="0.25">
      <c r="B89" s="3"/>
      <c r="C89" s="3"/>
      <c r="D89" s="3"/>
      <c r="E89" s="3"/>
      <c r="F89" s="3"/>
      <c r="G89" s="3"/>
      <c r="H89" s="3"/>
      <c r="I89" s="3"/>
    </row>
    <row r="90" spans="1:9" x14ac:dyDescent="0.25">
      <c r="B90" s="3"/>
      <c r="C90" s="3"/>
      <c r="D90" s="3"/>
      <c r="E90" s="3"/>
      <c r="F90" s="3"/>
      <c r="G90" s="3"/>
      <c r="H90" s="3"/>
      <c r="I90" s="3"/>
    </row>
    <row r="91" spans="1:9" x14ac:dyDescent="0.25">
      <c r="B91" s="3"/>
      <c r="C91" s="3"/>
      <c r="D91" s="3"/>
      <c r="E91" s="3"/>
      <c r="F91" s="3"/>
      <c r="G91" s="3"/>
      <c r="H91" s="3"/>
      <c r="I91" s="3"/>
    </row>
    <row r="92" spans="1:9" x14ac:dyDescent="0.25">
      <c r="B92" s="3"/>
      <c r="C92" s="3"/>
      <c r="D92" s="3"/>
      <c r="E92" s="3"/>
      <c r="F92" s="3"/>
      <c r="G92" s="3"/>
      <c r="H92" s="3"/>
      <c r="I92" s="3"/>
    </row>
    <row r="93" spans="1:9" x14ac:dyDescent="0.25">
      <c r="B93" s="3"/>
      <c r="C93" s="3"/>
      <c r="D93" s="3"/>
      <c r="E93" s="3"/>
      <c r="F93" s="3"/>
      <c r="G93" s="3"/>
      <c r="H93" s="3"/>
      <c r="I93" s="3"/>
    </row>
    <row r="94" spans="1:9" x14ac:dyDescent="0.25">
      <c r="B94" s="3"/>
      <c r="C94" s="3"/>
      <c r="D94" s="3"/>
      <c r="E94" s="3"/>
      <c r="F94" s="3"/>
      <c r="G94" s="3"/>
      <c r="H94" s="3"/>
      <c r="I94" s="3"/>
    </row>
    <row r="95" spans="1:9" x14ac:dyDescent="0.25">
      <c r="B95" s="3"/>
      <c r="C95" s="3"/>
      <c r="D95" s="3"/>
      <c r="E95" s="3"/>
      <c r="F95" s="3"/>
      <c r="G95" s="3"/>
      <c r="H95" s="3"/>
      <c r="I95" s="3"/>
    </row>
    <row r="96" spans="1:9" x14ac:dyDescent="0.25">
      <c r="B96" s="3"/>
      <c r="C96" s="3"/>
      <c r="D96" s="3"/>
      <c r="E96" s="3"/>
      <c r="F96" s="3"/>
      <c r="G96" s="3"/>
      <c r="H96" s="3"/>
      <c r="I96" s="3"/>
    </row>
    <row r="97" spans="2:9" x14ac:dyDescent="0.25">
      <c r="B97" s="3"/>
      <c r="C97" s="3"/>
      <c r="D97" s="3"/>
      <c r="E97" s="3"/>
      <c r="F97" s="3"/>
      <c r="G97" s="3"/>
      <c r="H97" s="3"/>
      <c r="I97" s="3"/>
    </row>
    <row r="98" spans="2:9" x14ac:dyDescent="0.25">
      <c r="B98" s="3"/>
      <c r="C98" s="3"/>
      <c r="D98" s="3"/>
      <c r="E98" s="3"/>
      <c r="F98" s="3"/>
      <c r="G98" s="3"/>
      <c r="H98" s="3"/>
      <c r="I98" s="3"/>
    </row>
    <row r="99" spans="2:9" x14ac:dyDescent="0.25">
      <c r="B99" s="3"/>
      <c r="C99" s="3"/>
      <c r="D99" s="3"/>
      <c r="E99" s="3"/>
      <c r="F99" s="3"/>
      <c r="G99" s="3"/>
      <c r="H99" s="3"/>
      <c r="I99" s="3"/>
    </row>
    <row r="100" spans="2:9" x14ac:dyDescent="0.25">
      <c r="B100" s="3"/>
      <c r="C100" s="3"/>
      <c r="D100" s="3"/>
      <c r="E100" s="3"/>
      <c r="F100" s="3"/>
      <c r="G100" s="3"/>
      <c r="H100" s="3"/>
      <c r="I100" s="3"/>
    </row>
    <row r="101" spans="2:9" x14ac:dyDescent="0.25">
      <c r="B101" s="3"/>
      <c r="C101" s="3"/>
      <c r="D101" s="3"/>
      <c r="E101" s="3"/>
      <c r="F101" s="3"/>
      <c r="G101" s="3"/>
      <c r="H101" s="3"/>
      <c r="I101" s="3"/>
    </row>
    <row r="102" spans="2:9" x14ac:dyDescent="0.25">
      <c r="B102" s="3"/>
      <c r="C102" s="3"/>
      <c r="D102" s="3"/>
      <c r="E102" s="3"/>
      <c r="F102" s="3"/>
      <c r="G102" s="3"/>
      <c r="H102" s="3"/>
      <c r="I102" s="3"/>
    </row>
    <row r="103" spans="2:9" x14ac:dyDescent="0.25">
      <c r="B103" s="3"/>
      <c r="C103" s="3"/>
      <c r="D103" s="3"/>
      <c r="E103" s="3"/>
      <c r="F103" s="3"/>
      <c r="G103" s="3"/>
      <c r="H103" s="3"/>
      <c r="I103" s="3"/>
    </row>
    <row r="104" spans="2:9" x14ac:dyDescent="0.25">
      <c r="B104" s="3"/>
      <c r="C104" s="3"/>
      <c r="D104" s="3"/>
      <c r="E104" s="3"/>
      <c r="F104" s="3"/>
      <c r="G104" s="3"/>
      <c r="H104" s="3"/>
      <c r="I104" s="3"/>
    </row>
    <row r="105" spans="2:9" x14ac:dyDescent="0.25">
      <c r="B105" s="3"/>
      <c r="C105" s="3"/>
      <c r="D105" s="3"/>
      <c r="E105" s="3"/>
      <c r="F105" s="3"/>
      <c r="G105" s="3"/>
      <c r="H105" s="3"/>
      <c r="I105" s="3"/>
    </row>
    <row r="106" spans="2:9" x14ac:dyDescent="0.25">
      <c r="B106" s="3"/>
      <c r="C106" s="3"/>
      <c r="D106" s="3"/>
      <c r="E106" s="3"/>
      <c r="F106" s="3"/>
      <c r="G106" s="3"/>
      <c r="H106" s="3"/>
      <c r="I106" s="3"/>
    </row>
    <row r="107" spans="2:9" x14ac:dyDescent="0.25">
      <c r="B107" s="3"/>
      <c r="C107" s="3"/>
      <c r="D107" s="3"/>
      <c r="E107" s="3"/>
      <c r="F107" s="3"/>
      <c r="G107" s="3"/>
      <c r="H107" s="3"/>
      <c r="I107" s="3"/>
    </row>
    <row r="108" spans="2:9" x14ac:dyDescent="0.25">
      <c r="B108" s="3"/>
      <c r="C108" s="3"/>
      <c r="D108" s="3"/>
      <c r="E108" s="3"/>
      <c r="F108" s="3"/>
      <c r="G108" s="3"/>
      <c r="H108" s="3"/>
      <c r="I108" s="3"/>
    </row>
    <row r="109" spans="2:9" x14ac:dyDescent="0.25">
      <c r="B109" s="3"/>
      <c r="C109" s="3"/>
      <c r="D109" s="3"/>
      <c r="E109" s="3"/>
      <c r="F109" s="3"/>
      <c r="G109" s="3"/>
      <c r="H109" s="3"/>
      <c r="I109" s="3"/>
    </row>
    <row r="110" spans="2:9" x14ac:dyDescent="0.25">
      <c r="B110" s="3"/>
      <c r="C110" s="3"/>
      <c r="D110" s="3"/>
      <c r="E110" s="3"/>
      <c r="F110" s="3"/>
      <c r="G110" s="3"/>
      <c r="H110" s="3"/>
      <c r="I110" s="3"/>
    </row>
    <row r="111" spans="2:9" x14ac:dyDescent="0.25">
      <c r="B111" s="3"/>
      <c r="C111" s="3"/>
      <c r="D111" s="3"/>
      <c r="E111" s="3"/>
      <c r="F111" s="3"/>
      <c r="G111" s="3"/>
      <c r="H111" s="3"/>
      <c r="I111" s="3"/>
    </row>
    <row r="112" spans="2:9" x14ac:dyDescent="0.25">
      <c r="B112" s="3"/>
      <c r="C112" s="3"/>
      <c r="D112" s="3"/>
      <c r="E112" s="3"/>
      <c r="F112" s="3"/>
      <c r="G112" s="3"/>
      <c r="H112" s="3"/>
      <c r="I112" s="3"/>
    </row>
    <row r="113" spans="2:9" x14ac:dyDescent="0.25">
      <c r="B113" s="3"/>
      <c r="C113" s="3"/>
      <c r="D113" s="3"/>
      <c r="E113" s="3"/>
      <c r="F113" s="3"/>
      <c r="G113" s="3"/>
      <c r="H113" s="3"/>
      <c r="I113" s="3"/>
    </row>
    <row r="114" spans="2:9" x14ac:dyDescent="0.25">
      <c r="B114" s="3"/>
      <c r="C114" s="3"/>
      <c r="D114" s="3"/>
      <c r="E114" s="3"/>
      <c r="F114" s="3"/>
      <c r="G114" s="3"/>
      <c r="H114" s="3"/>
      <c r="I114" s="3"/>
    </row>
    <row r="115" spans="2:9" x14ac:dyDescent="0.25">
      <c r="B115" s="3"/>
      <c r="C115" s="3"/>
      <c r="D115" s="3"/>
      <c r="E115" s="3"/>
      <c r="F115" s="3"/>
      <c r="G115" s="3"/>
      <c r="H115" s="3"/>
      <c r="I115" s="3"/>
    </row>
    <row r="116" spans="2:9" x14ac:dyDescent="0.25">
      <c r="B116" s="3"/>
      <c r="C116" s="3"/>
      <c r="D116" s="3"/>
      <c r="E116" s="3"/>
      <c r="F116" s="3"/>
      <c r="G116" s="3"/>
      <c r="H116" s="3"/>
      <c r="I116" s="3"/>
    </row>
    <row r="117" spans="2:9" x14ac:dyDescent="0.25">
      <c r="B117" s="3"/>
      <c r="C117" s="3"/>
      <c r="D117" s="3"/>
      <c r="E117" s="3"/>
      <c r="F117" s="3"/>
      <c r="G117" s="3"/>
      <c r="H117" s="3"/>
      <c r="I117" s="3"/>
    </row>
    <row r="118" spans="2:9" x14ac:dyDescent="0.25">
      <c r="B118" s="3"/>
      <c r="C118" s="3"/>
      <c r="D118" s="3"/>
      <c r="E118" s="3"/>
      <c r="F118" s="3"/>
      <c r="G118" s="3"/>
      <c r="H118" s="3"/>
      <c r="I118" s="3"/>
    </row>
    <row r="119" spans="2:9" x14ac:dyDescent="0.25">
      <c r="B119" s="3"/>
      <c r="C119" s="3"/>
      <c r="D119" s="3"/>
      <c r="E119" s="3"/>
      <c r="F119" s="3"/>
      <c r="G119" s="3"/>
      <c r="H119" s="3"/>
      <c r="I119" s="3"/>
    </row>
    <row r="120" spans="2:9" x14ac:dyDescent="0.25">
      <c r="B120" s="3"/>
      <c r="C120" s="3"/>
      <c r="D120" s="3"/>
      <c r="E120" s="3"/>
      <c r="F120" s="3"/>
      <c r="G120" s="3"/>
      <c r="H120" s="3"/>
      <c r="I120" s="3"/>
    </row>
    <row r="121" spans="2:9" x14ac:dyDescent="0.25">
      <c r="B121" s="3"/>
      <c r="C121" s="3"/>
      <c r="D121" s="3"/>
      <c r="E121" s="3"/>
      <c r="F121" s="3"/>
      <c r="G121" s="3"/>
      <c r="H121" s="3"/>
      <c r="I121" s="3"/>
    </row>
  </sheetData>
  <conditionalFormatting sqref="A1:A1048576">
    <cfRule type="duplicateValues" dxfId="3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6A47-A230-486F-A60C-6D73C8B65463}">
  <dimension ref="A1:R91"/>
  <sheetViews>
    <sheetView topLeftCell="A43" workbookViewId="0">
      <selection activeCell="E56" sqref="E56"/>
    </sheetView>
  </sheetViews>
  <sheetFormatPr defaultRowHeight="15" x14ac:dyDescent="0.25"/>
  <cols>
    <col min="1" max="1" width="27.28515625" customWidth="1"/>
    <col min="2" max="2" width="24.85546875" customWidth="1"/>
    <col min="3" max="3" width="22" customWidth="1"/>
    <col min="4" max="4" width="22.5703125" customWidth="1"/>
    <col min="5" max="5" width="22.85546875" customWidth="1"/>
    <col min="6" max="6" width="21.140625" customWidth="1"/>
    <col min="7" max="8" width="10.5703125" customWidth="1"/>
    <col min="16" max="16" width="13.85546875" customWidth="1"/>
    <col min="17" max="17" width="16.7109375" customWidth="1"/>
    <col min="18" max="18" width="17.5703125" customWidth="1"/>
  </cols>
  <sheetData>
    <row r="1" spans="1:18" x14ac:dyDescent="0.25">
      <c r="A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0</v>
      </c>
      <c r="L1" s="5" t="s">
        <v>13</v>
      </c>
      <c r="M1" s="6" t="s">
        <v>14</v>
      </c>
      <c r="N1" s="6" t="s">
        <v>15</v>
      </c>
      <c r="O1" s="6" t="s">
        <v>16</v>
      </c>
      <c r="P1" s="6" t="s">
        <v>9</v>
      </c>
      <c r="Q1" s="6" t="s">
        <v>17</v>
      </c>
      <c r="R1" s="7" t="s">
        <v>18</v>
      </c>
    </row>
    <row r="2" spans="1:18" x14ac:dyDescent="0.25">
      <c r="A2" s="2" t="s">
        <v>289</v>
      </c>
      <c r="B2" s="1">
        <v>30.082000000000001</v>
      </c>
      <c r="C2" s="1">
        <v>14.515000000000001</v>
      </c>
      <c r="D2" s="1"/>
      <c r="E2" s="1">
        <v>92.947195933518302</v>
      </c>
      <c r="F2" s="1">
        <v>1833118</v>
      </c>
      <c r="G2" s="1">
        <v>4154.46</v>
      </c>
      <c r="H2" s="1">
        <v>201</v>
      </c>
      <c r="I2" s="3" t="s">
        <v>10</v>
      </c>
      <c r="L2">
        <f>COUNTIF(I2:I91,"A")</f>
        <v>32</v>
      </c>
      <c r="M2">
        <f>COUNTIF(I2:I91,"B")</f>
        <v>32</v>
      </c>
      <c r="N2">
        <f>SUM(L2:M2)</f>
        <v>64</v>
      </c>
      <c r="O2">
        <f>COUNTIF(I1:I91,"C")</f>
        <v>5</v>
      </c>
      <c r="P2">
        <f>(O2/(L2+M2+O2))*100</f>
        <v>7.2463768115942031</v>
      </c>
      <c r="Q2">
        <f>(L2/(L2+M2+O2))*100</f>
        <v>46.376811594202898</v>
      </c>
      <c r="R2">
        <f>(N2/(N2+O2))*100</f>
        <v>92.753623188405797</v>
      </c>
    </row>
    <row r="3" spans="1:18" x14ac:dyDescent="0.25">
      <c r="A3" s="2" t="s">
        <v>290</v>
      </c>
      <c r="B3" s="1">
        <v>30.329000000000001</v>
      </c>
      <c r="C3" s="1">
        <v>3.3109999999999999</v>
      </c>
      <c r="D3" s="1"/>
      <c r="E3" s="1">
        <v>84.774102932816106</v>
      </c>
      <c r="F3" s="1">
        <v>1504278</v>
      </c>
      <c r="G3" s="1">
        <v>3759.26</v>
      </c>
      <c r="H3" s="1">
        <v>200</v>
      </c>
      <c r="I3" s="3" t="s">
        <v>12</v>
      </c>
    </row>
    <row r="4" spans="1:18" x14ac:dyDescent="0.25">
      <c r="A4" s="2" t="s">
        <v>291</v>
      </c>
      <c r="B4" s="1">
        <v>30.500833999999998</v>
      </c>
      <c r="C4" s="1">
        <v>4.298</v>
      </c>
      <c r="D4" s="1"/>
      <c r="E4" s="1">
        <v>91.833595291442293</v>
      </c>
      <c r="F4" s="1">
        <v>1032446</v>
      </c>
      <c r="G4" s="1">
        <v>2722.84</v>
      </c>
      <c r="H4" s="1">
        <v>202</v>
      </c>
      <c r="I4" s="3" t="s">
        <v>10</v>
      </c>
    </row>
    <row r="5" spans="1:18" x14ac:dyDescent="0.25">
      <c r="A5" s="2" t="s">
        <v>292</v>
      </c>
      <c r="B5" s="1">
        <v>30.523999999999997</v>
      </c>
      <c r="C5" s="1">
        <v>7.4080000000000004</v>
      </c>
      <c r="D5" s="1"/>
      <c r="E5" s="1">
        <v>90.810286593318395</v>
      </c>
      <c r="F5" s="1">
        <v>1270390</v>
      </c>
      <c r="G5" s="1">
        <v>2897.95</v>
      </c>
      <c r="H5" s="1">
        <v>201</v>
      </c>
      <c r="I5" s="3" t="s">
        <v>10</v>
      </c>
    </row>
    <row r="6" spans="1:18" x14ac:dyDescent="0.25">
      <c r="A6" s="2" t="s">
        <v>293</v>
      </c>
      <c r="B6" s="1">
        <v>31.097000999999999</v>
      </c>
      <c r="C6" s="1">
        <v>4.8460000000000001</v>
      </c>
      <c r="D6" s="1"/>
      <c r="E6" s="1">
        <v>71.835601779085707</v>
      </c>
      <c r="F6" s="1">
        <v>743150</v>
      </c>
      <c r="G6" s="1">
        <v>1427.82</v>
      </c>
      <c r="H6" s="1">
        <v>206</v>
      </c>
      <c r="I6" s="3" t="s">
        <v>12</v>
      </c>
    </row>
    <row r="7" spans="1:18" x14ac:dyDescent="0.25">
      <c r="A7" s="2" t="s">
        <v>294</v>
      </c>
      <c r="B7" s="1">
        <v>31.098222999999997</v>
      </c>
      <c r="C7" s="1">
        <v>5.3170000000000002</v>
      </c>
      <c r="D7" s="1"/>
      <c r="E7" s="1">
        <v>95.582383038491102</v>
      </c>
      <c r="F7" s="1">
        <v>785856</v>
      </c>
      <c r="G7" s="1">
        <v>1753.25</v>
      </c>
      <c r="H7" s="1">
        <v>206</v>
      </c>
      <c r="I7" s="3" t="s">
        <v>10</v>
      </c>
    </row>
    <row r="8" spans="1:18" x14ac:dyDescent="0.25">
      <c r="A8" s="2" t="s">
        <v>295</v>
      </c>
      <c r="B8" s="1">
        <v>31.1129</v>
      </c>
      <c r="C8" s="1">
        <v>1.57</v>
      </c>
      <c r="D8" s="1"/>
      <c r="E8" s="1">
        <v>92.385379393371906</v>
      </c>
      <c r="F8" s="1">
        <v>1681204</v>
      </c>
      <c r="G8" s="1">
        <v>4762.29</v>
      </c>
      <c r="H8" s="1">
        <v>209</v>
      </c>
      <c r="I8" s="3" t="s">
        <v>10</v>
      </c>
    </row>
    <row r="9" spans="1:18" x14ac:dyDescent="0.25">
      <c r="A9" s="2" t="s">
        <v>296</v>
      </c>
      <c r="B9" s="1">
        <v>31.114121999999998</v>
      </c>
      <c r="C9" s="1">
        <v>1.496</v>
      </c>
      <c r="D9" s="1"/>
      <c r="E9" s="1">
        <v>92.355282078721203</v>
      </c>
      <c r="F9" s="1">
        <v>957708</v>
      </c>
      <c r="G9" s="1">
        <v>2650.31</v>
      </c>
      <c r="H9" s="1">
        <v>209</v>
      </c>
      <c r="I9" s="3" t="s">
        <v>10</v>
      </c>
    </row>
    <row r="10" spans="1:18" x14ac:dyDescent="0.25">
      <c r="A10" s="2" t="s">
        <v>297</v>
      </c>
      <c r="B10" s="1">
        <v>31.116565999999999</v>
      </c>
      <c r="C10" s="1">
        <v>8.7919999999999998</v>
      </c>
      <c r="D10" s="1"/>
      <c r="E10" s="1">
        <v>88.810487242082701</v>
      </c>
      <c r="F10" s="1">
        <v>1683356</v>
      </c>
      <c r="G10" s="1">
        <v>3740.91</v>
      </c>
      <c r="H10" s="1">
        <v>211</v>
      </c>
      <c r="I10" s="3" t="s">
        <v>12</v>
      </c>
    </row>
    <row r="11" spans="1:18" x14ac:dyDescent="0.25">
      <c r="A11" s="2" t="s">
        <v>298</v>
      </c>
      <c r="B11" s="1">
        <v>31.122</v>
      </c>
      <c r="C11" s="1">
        <v>3.528</v>
      </c>
      <c r="D11" s="1"/>
      <c r="E11" s="1">
        <v>81.583787579841399</v>
      </c>
      <c r="F11" s="1">
        <v>677954</v>
      </c>
      <c r="G11" s="1">
        <v>1320.09</v>
      </c>
      <c r="H11" s="1">
        <v>201</v>
      </c>
      <c r="I11" s="3" t="s">
        <v>12</v>
      </c>
    </row>
    <row r="12" spans="1:18" x14ac:dyDescent="0.25">
      <c r="A12" s="2" t="s">
        <v>299</v>
      </c>
      <c r="B12" s="1">
        <v>31.122</v>
      </c>
      <c r="C12" s="1">
        <v>4.4710000000000001</v>
      </c>
      <c r="D12" s="1"/>
      <c r="E12" s="1">
        <v>79.142560947062094</v>
      </c>
      <c r="F12" s="1">
        <v>796404</v>
      </c>
      <c r="G12" s="1">
        <v>1796.28</v>
      </c>
      <c r="H12" s="1">
        <v>201</v>
      </c>
      <c r="I12" s="3" t="s">
        <v>12</v>
      </c>
    </row>
    <row r="13" spans="1:18" x14ac:dyDescent="0.25">
      <c r="A13" s="2" t="s">
        <v>300</v>
      </c>
      <c r="B13" s="1">
        <v>31.122</v>
      </c>
      <c r="C13" s="1">
        <v>6.2850000000000001</v>
      </c>
      <c r="D13" s="1"/>
      <c r="E13" s="1">
        <v>89.251914523626397</v>
      </c>
      <c r="F13" s="1">
        <v>1015040</v>
      </c>
      <c r="G13" s="1">
        <v>2452.7800000000002</v>
      </c>
      <c r="H13" s="1">
        <v>201</v>
      </c>
      <c r="I13" s="3" t="s">
        <v>12</v>
      </c>
    </row>
    <row r="14" spans="1:18" x14ac:dyDescent="0.25">
      <c r="A14" s="2" t="s">
        <v>301</v>
      </c>
      <c r="B14" s="1">
        <v>31.239000000000001</v>
      </c>
      <c r="C14" s="1">
        <v>8.9779999999999998</v>
      </c>
      <c r="D14" s="1"/>
      <c r="E14" s="1">
        <v>91.920543089322095</v>
      </c>
      <c r="F14" s="1">
        <v>1920778</v>
      </c>
      <c r="G14" s="1">
        <v>4262.83</v>
      </c>
      <c r="H14" s="1">
        <v>201</v>
      </c>
      <c r="I14" s="3" t="s">
        <v>10</v>
      </c>
    </row>
    <row r="15" spans="1:18" x14ac:dyDescent="0.25">
      <c r="A15" s="2" t="s">
        <v>302</v>
      </c>
      <c r="B15" s="1">
        <v>31.328199999999999</v>
      </c>
      <c r="C15" s="1">
        <v>3.2509999999999999</v>
      </c>
      <c r="D15" s="1"/>
      <c r="E15" s="1">
        <v>59.345216199043499</v>
      </c>
      <c r="F15" s="1">
        <v>1085170</v>
      </c>
      <c r="G15" s="1">
        <v>2597.75</v>
      </c>
      <c r="H15" s="1">
        <v>202</v>
      </c>
      <c r="I15" s="3" t="s">
        <v>11</v>
      </c>
    </row>
    <row r="16" spans="1:18" x14ac:dyDescent="0.25">
      <c r="A16" s="2" t="s">
        <v>303</v>
      </c>
      <c r="B16" s="1">
        <v>31.382000000000001</v>
      </c>
      <c r="C16" s="1">
        <v>3.7210000000000001</v>
      </c>
      <c r="D16" s="1"/>
      <c r="E16" s="1">
        <v>87.024713239474295</v>
      </c>
      <c r="F16" s="1">
        <v>1417140</v>
      </c>
      <c r="G16" s="1">
        <v>3790.01</v>
      </c>
      <c r="H16" s="1">
        <v>200</v>
      </c>
      <c r="I16" s="3" t="s">
        <v>12</v>
      </c>
    </row>
    <row r="17" spans="1:9" x14ac:dyDescent="0.25">
      <c r="A17" s="2" t="s">
        <v>304</v>
      </c>
      <c r="B17" s="1">
        <v>31.539482</v>
      </c>
      <c r="C17" s="1">
        <v>4.4180000000000001</v>
      </c>
      <c r="D17" s="1"/>
      <c r="E17" s="1">
        <v>75.882018526569198</v>
      </c>
      <c r="F17" s="1">
        <v>1024474</v>
      </c>
      <c r="G17" s="1">
        <v>2375.5100000000002</v>
      </c>
      <c r="H17" s="1">
        <v>204</v>
      </c>
      <c r="I17" s="3" t="s">
        <v>12</v>
      </c>
    </row>
    <row r="18" spans="1:9" x14ac:dyDescent="0.25">
      <c r="A18" s="2" t="s">
        <v>305</v>
      </c>
      <c r="B18" s="1">
        <v>31.551000000000002</v>
      </c>
      <c r="C18" s="1">
        <v>3.5219999999999998</v>
      </c>
      <c r="D18" s="1"/>
      <c r="E18" s="1">
        <v>82.660602615122201</v>
      </c>
      <c r="F18" s="1">
        <v>911958</v>
      </c>
      <c r="G18" s="1">
        <v>2255.1</v>
      </c>
      <c r="H18" s="1">
        <v>200</v>
      </c>
      <c r="I18" s="3" t="s">
        <v>12</v>
      </c>
    </row>
    <row r="19" spans="1:9" x14ac:dyDescent="0.25">
      <c r="A19" s="2" t="s">
        <v>306</v>
      </c>
      <c r="B19" s="1">
        <v>32.325643999999997</v>
      </c>
      <c r="C19" s="1">
        <v>6.85</v>
      </c>
      <c r="D19" s="1"/>
      <c r="E19" s="1">
        <v>84.071832257633005</v>
      </c>
      <c r="F19" s="1">
        <v>1010314</v>
      </c>
      <c r="G19" s="1">
        <v>2497.3000000000002</v>
      </c>
      <c r="H19" s="1">
        <v>204</v>
      </c>
      <c r="I19" s="3" t="s">
        <v>12</v>
      </c>
    </row>
    <row r="20" spans="1:9" x14ac:dyDescent="0.25">
      <c r="A20" s="2" t="s">
        <v>307</v>
      </c>
      <c r="B20" s="1">
        <v>32.348511000000002</v>
      </c>
      <c r="C20" s="1">
        <v>1.8620000000000001</v>
      </c>
      <c r="D20" s="1"/>
      <c r="E20" s="1">
        <v>75.146306390663099</v>
      </c>
      <c r="F20" s="1">
        <v>875874</v>
      </c>
      <c r="G20" s="1">
        <v>2078.15</v>
      </c>
      <c r="H20" s="1">
        <v>209</v>
      </c>
      <c r="I20" s="3" t="s">
        <v>12</v>
      </c>
    </row>
    <row r="21" spans="1:9" x14ac:dyDescent="0.25">
      <c r="A21" s="2" t="s">
        <v>308</v>
      </c>
      <c r="B21" s="1">
        <v>32.379061</v>
      </c>
      <c r="C21" s="1">
        <v>0.39200000000000002</v>
      </c>
      <c r="D21" s="1"/>
      <c r="E21" s="1">
        <v>0.82934822593050805</v>
      </c>
      <c r="F21" s="1">
        <v>2081082</v>
      </c>
      <c r="G21" s="1">
        <v>0.44105899999999998</v>
      </c>
      <c r="H21" s="1">
        <v>207</v>
      </c>
      <c r="I21" s="3" t="s">
        <v>11</v>
      </c>
    </row>
    <row r="22" spans="1:9" x14ac:dyDescent="0.25">
      <c r="A22" s="2" t="s">
        <v>309</v>
      </c>
      <c r="B22" s="1">
        <v>32.394348999999998</v>
      </c>
      <c r="C22" s="1">
        <v>4.375</v>
      </c>
      <c r="D22" s="1"/>
      <c r="E22" s="1">
        <v>92.057653078286407</v>
      </c>
      <c r="F22" s="1">
        <v>1127836</v>
      </c>
      <c r="G22" s="1">
        <v>2675.48</v>
      </c>
      <c r="H22" s="1">
        <v>202</v>
      </c>
      <c r="I22" s="3" t="s">
        <v>10</v>
      </c>
    </row>
    <row r="23" spans="1:9" x14ac:dyDescent="0.25">
      <c r="A23" s="2" t="s">
        <v>310</v>
      </c>
      <c r="B23" s="1">
        <v>32.473596999999998</v>
      </c>
      <c r="C23" s="1">
        <v>3.4</v>
      </c>
      <c r="D23" s="1"/>
      <c r="E23" s="1">
        <v>79.627462127545698</v>
      </c>
      <c r="F23" s="1">
        <v>1077220</v>
      </c>
      <c r="G23" s="1">
        <v>2737.73</v>
      </c>
      <c r="H23" s="1">
        <v>202</v>
      </c>
      <c r="I23" s="3" t="s">
        <v>12</v>
      </c>
    </row>
    <row r="24" spans="1:9" x14ac:dyDescent="0.25">
      <c r="A24" s="2" t="s">
        <v>311</v>
      </c>
      <c r="B24" s="1">
        <v>32.769100000000002</v>
      </c>
      <c r="C24" s="1">
        <v>0.68899999999999995</v>
      </c>
      <c r="D24" s="1"/>
      <c r="E24" s="1" t="s">
        <v>237</v>
      </c>
      <c r="F24" s="1">
        <v>74220</v>
      </c>
      <c r="G24" s="1">
        <v>1.20724E-2</v>
      </c>
      <c r="H24" s="1">
        <v>202</v>
      </c>
      <c r="I24" s="3" t="s">
        <v>237</v>
      </c>
    </row>
    <row r="25" spans="1:9" x14ac:dyDescent="0.25">
      <c r="A25" s="2" t="s">
        <v>312</v>
      </c>
      <c r="B25" s="1">
        <v>32.993297999999996</v>
      </c>
      <c r="C25" s="1">
        <v>2.4820000000000002</v>
      </c>
      <c r="D25" s="1"/>
      <c r="E25" s="1">
        <v>91.549342875296702</v>
      </c>
      <c r="F25" s="1">
        <v>978926</v>
      </c>
      <c r="G25" s="1">
        <v>2745.63</v>
      </c>
      <c r="H25" s="1">
        <v>202</v>
      </c>
      <c r="I25" s="3" t="s">
        <v>10</v>
      </c>
    </row>
    <row r="26" spans="1:9" x14ac:dyDescent="0.25">
      <c r="A26" s="2" t="s">
        <v>313</v>
      </c>
      <c r="B26" s="1">
        <v>32.994</v>
      </c>
      <c r="C26" s="1">
        <v>3.633</v>
      </c>
      <c r="D26" s="1"/>
      <c r="E26" s="1">
        <v>89.556231816205695</v>
      </c>
      <c r="F26" s="1">
        <v>868566</v>
      </c>
      <c r="G26" s="1">
        <v>2230.71</v>
      </c>
      <c r="H26" s="1">
        <v>201</v>
      </c>
      <c r="I26" s="3" t="s">
        <v>12</v>
      </c>
    </row>
    <row r="27" spans="1:9" x14ac:dyDescent="0.25">
      <c r="A27" s="2" t="s">
        <v>314</v>
      </c>
      <c r="B27" s="1">
        <v>33.071350000000002</v>
      </c>
      <c r="C27" s="1">
        <v>4.7590000000000003</v>
      </c>
      <c r="D27" s="1"/>
      <c r="E27" s="1">
        <v>80.864796174296899</v>
      </c>
      <c r="F27" s="1">
        <v>820706</v>
      </c>
      <c r="G27" s="1">
        <v>2057.64</v>
      </c>
      <c r="H27" s="1">
        <v>204</v>
      </c>
      <c r="I27" s="3" t="s">
        <v>12</v>
      </c>
    </row>
    <row r="28" spans="1:9" x14ac:dyDescent="0.25">
      <c r="A28" s="2" t="s">
        <v>315</v>
      </c>
      <c r="B28" s="1">
        <v>33.278648000000004</v>
      </c>
      <c r="C28" s="1">
        <v>3.117</v>
      </c>
      <c r="D28" s="1"/>
      <c r="E28" s="1">
        <v>97.528676052569907</v>
      </c>
      <c r="F28" s="1">
        <v>1711486</v>
      </c>
      <c r="G28" s="1">
        <v>3944.92</v>
      </c>
      <c r="H28" s="1">
        <v>214</v>
      </c>
      <c r="I28" s="3" t="s">
        <v>10</v>
      </c>
    </row>
    <row r="29" spans="1:9" x14ac:dyDescent="0.25">
      <c r="A29" s="2" t="s">
        <v>316</v>
      </c>
      <c r="B29" s="1">
        <v>33.327579999999998</v>
      </c>
      <c r="C29" s="1">
        <v>4.0439999999999996</v>
      </c>
      <c r="D29" s="1"/>
      <c r="E29" s="1">
        <v>91.101227301608503</v>
      </c>
      <c r="F29" s="1">
        <v>1358312</v>
      </c>
      <c r="G29" s="1">
        <v>3455.07</v>
      </c>
      <c r="H29" s="1">
        <v>210</v>
      </c>
      <c r="I29" s="3" t="s">
        <v>10</v>
      </c>
    </row>
    <row r="30" spans="1:9" x14ac:dyDescent="0.25">
      <c r="A30" s="2" t="s">
        <v>317</v>
      </c>
      <c r="B30" s="1">
        <v>33.538634999999999</v>
      </c>
      <c r="C30" s="1">
        <v>4.5730000000000004</v>
      </c>
      <c r="D30" s="1"/>
      <c r="E30" s="1">
        <v>91.659699695682704</v>
      </c>
      <c r="F30" s="1">
        <v>967782</v>
      </c>
      <c r="G30" s="1">
        <v>2565.79</v>
      </c>
      <c r="H30" s="1">
        <v>205</v>
      </c>
      <c r="I30" s="3" t="s">
        <v>10</v>
      </c>
    </row>
    <row r="31" spans="1:9" x14ac:dyDescent="0.25">
      <c r="A31" s="2" t="s">
        <v>318</v>
      </c>
      <c r="B31" s="1">
        <v>33.899150999999996</v>
      </c>
      <c r="C31" s="1">
        <v>1.94</v>
      </c>
      <c r="D31" s="1"/>
      <c r="E31" s="1">
        <v>93.652810754773697</v>
      </c>
      <c r="F31" s="1">
        <v>1087072</v>
      </c>
      <c r="G31" s="1">
        <v>2961.19</v>
      </c>
      <c r="H31" s="1">
        <v>209</v>
      </c>
      <c r="I31" s="3" t="s">
        <v>10</v>
      </c>
    </row>
    <row r="32" spans="1:9" x14ac:dyDescent="0.25">
      <c r="A32" s="2" t="s">
        <v>319</v>
      </c>
      <c r="B32" s="1">
        <v>33.93</v>
      </c>
      <c r="C32" s="1">
        <v>3.298</v>
      </c>
      <c r="D32" s="1"/>
      <c r="E32" s="1">
        <v>95.281409891983998</v>
      </c>
      <c r="F32" s="1">
        <v>769440</v>
      </c>
      <c r="G32" s="1">
        <v>2022.26</v>
      </c>
      <c r="H32" s="1">
        <v>201</v>
      </c>
      <c r="I32" s="1" t="s">
        <v>10</v>
      </c>
    </row>
    <row r="33" spans="1:9" x14ac:dyDescent="0.25">
      <c r="A33" t="s">
        <v>320</v>
      </c>
      <c r="B33" s="3">
        <v>34.000304</v>
      </c>
      <c r="C33" s="3">
        <v>2.8130000000000002</v>
      </c>
      <c r="D33" s="3"/>
      <c r="E33" s="3">
        <v>93.348493462194398</v>
      </c>
      <c r="F33" s="3">
        <v>2002174</v>
      </c>
      <c r="G33" s="3">
        <v>5440.85</v>
      </c>
      <c r="H33" s="3">
        <v>210</v>
      </c>
      <c r="I33" s="3" t="s">
        <v>10</v>
      </c>
    </row>
    <row r="34" spans="1:9" x14ac:dyDescent="0.25">
      <c r="A34" t="s">
        <v>321</v>
      </c>
      <c r="B34" s="3">
        <v>34.134945000000002</v>
      </c>
      <c r="C34" s="3">
        <v>3.8969999999999998</v>
      </c>
      <c r="D34" s="3"/>
      <c r="E34" s="3">
        <v>65.816138848944902</v>
      </c>
      <c r="F34" s="3">
        <v>1349706</v>
      </c>
      <c r="G34" s="3">
        <v>2403.44</v>
      </c>
      <c r="H34" s="3">
        <v>214</v>
      </c>
      <c r="I34" s="3" t="s">
        <v>12</v>
      </c>
    </row>
    <row r="35" spans="1:9" x14ac:dyDescent="0.25">
      <c r="A35" t="s">
        <v>322</v>
      </c>
      <c r="B35" s="3">
        <v>34.187230999999997</v>
      </c>
      <c r="C35" s="3">
        <v>4.47</v>
      </c>
      <c r="D35" s="3"/>
      <c r="E35" s="3">
        <v>86.165267698893004</v>
      </c>
      <c r="F35" s="3">
        <v>1054800</v>
      </c>
      <c r="G35" s="3">
        <v>2833.05</v>
      </c>
      <c r="H35" s="3">
        <v>204</v>
      </c>
      <c r="I35" s="3" t="s">
        <v>12</v>
      </c>
    </row>
    <row r="36" spans="1:9" x14ac:dyDescent="0.25">
      <c r="A36" t="s">
        <v>323</v>
      </c>
      <c r="B36" s="3">
        <v>34.191261000000004</v>
      </c>
      <c r="C36" s="3">
        <v>7.0019999999999998</v>
      </c>
      <c r="D36" s="3"/>
      <c r="E36" s="3">
        <v>94.893488947597206</v>
      </c>
      <c r="F36" s="3">
        <v>1094768</v>
      </c>
      <c r="G36" s="3">
        <v>2949.54</v>
      </c>
      <c r="H36" s="3">
        <v>207</v>
      </c>
      <c r="I36" s="3" t="s">
        <v>10</v>
      </c>
    </row>
    <row r="37" spans="1:9" x14ac:dyDescent="0.25">
      <c r="A37" t="s">
        <v>324</v>
      </c>
      <c r="B37" s="3">
        <v>34.199321000000005</v>
      </c>
      <c r="C37" s="3">
        <v>2.649</v>
      </c>
      <c r="D37" s="3"/>
      <c r="E37" s="3">
        <v>78.560679530481806</v>
      </c>
      <c r="F37" s="3">
        <v>1398708</v>
      </c>
      <c r="G37" s="3">
        <v>3050.41</v>
      </c>
      <c r="H37" s="3">
        <v>213</v>
      </c>
      <c r="I37" s="3" t="s">
        <v>12</v>
      </c>
    </row>
    <row r="38" spans="1:9" x14ac:dyDescent="0.25">
      <c r="A38" t="s">
        <v>325</v>
      </c>
      <c r="B38" s="3">
        <v>34.203350999999998</v>
      </c>
      <c r="C38" s="3">
        <v>4.3209999999999997</v>
      </c>
      <c r="D38" s="3"/>
      <c r="E38" s="3">
        <v>83.088653312376593</v>
      </c>
      <c r="F38" s="3">
        <v>875880</v>
      </c>
      <c r="G38" s="3">
        <v>2097.29</v>
      </c>
      <c r="H38" s="3">
        <v>204</v>
      </c>
      <c r="I38" s="3" t="s">
        <v>12</v>
      </c>
    </row>
    <row r="39" spans="1:9" x14ac:dyDescent="0.25">
      <c r="A39" t="s">
        <v>326</v>
      </c>
      <c r="B39" s="3">
        <v>34.214102000000004</v>
      </c>
      <c r="C39" s="3">
        <v>2.6749999999999998</v>
      </c>
      <c r="D39" s="3"/>
      <c r="E39" s="3">
        <v>93.308363709326798</v>
      </c>
      <c r="F39" s="3">
        <v>3032716</v>
      </c>
      <c r="G39" s="3">
        <v>6200.65</v>
      </c>
      <c r="H39" s="3">
        <v>218</v>
      </c>
      <c r="I39" s="3" t="s">
        <v>10</v>
      </c>
    </row>
    <row r="40" spans="1:9" x14ac:dyDescent="0.25">
      <c r="A40" t="s">
        <v>327</v>
      </c>
      <c r="B40" s="3">
        <v>34.311199000000002</v>
      </c>
      <c r="C40" s="3">
        <v>0.247</v>
      </c>
      <c r="D40" s="3"/>
      <c r="E40" s="3" t="s">
        <v>237</v>
      </c>
      <c r="F40" s="3" t="s">
        <v>237</v>
      </c>
      <c r="G40" s="3" t="s">
        <v>237</v>
      </c>
      <c r="H40" s="3">
        <v>213</v>
      </c>
      <c r="I40" s="3" t="s">
        <v>11</v>
      </c>
    </row>
    <row r="41" spans="1:9" x14ac:dyDescent="0.25">
      <c r="A41" t="s">
        <v>328</v>
      </c>
      <c r="B41" s="3">
        <v>34.461986000000003</v>
      </c>
      <c r="C41" s="3">
        <v>2.6179999999999999</v>
      </c>
      <c r="D41" s="3"/>
      <c r="E41" s="3">
        <v>68.866000066882904</v>
      </c>
      <c r="F41" s="3">
        <v>1004292</v>
      </c>
      <c r="G41" s="3">
        <v>1526.86</v>
      </c>
      <c r="H41" s="3">
        <v>214</v>
      </c>
      <c r="I41" s="3" t="s">
        <v>12</v>
      </c>
    </row>
    <row r="42" spans="1:9" x14ac:dyDescent="0.25">
      <c r="A42" t="s">
        <v>329</v>
      </c>
      <c r="B42" s="3">
        <v>34.790365999999999</v>
      </c>
      <c r="C42" s="3">
        <v>4.4550000000000001</v>
      </c>
      <c r="D42" s="3"/>
      <c r="E42" s="3">
        <v>97.491890445774601</v>
      </c>
      <c r="F42" s="3">
        <v>1078008</v>
      </c>
      <c r="G42" s="3">
        <v>3159.11</v>
      </c>
      <c r="H42" s="3">
        <v>208</v>
      </c>
      <c r="I42" s="3" t="s">
        <v>10</v>
      </c>
    </row>
    <row r="43" spans="1:9" x14ac:dyDescent="0.25">
      <c r="A43" t="s">
        <v>330</v>
      </c>
      <c r="B43" s="3">
        <v>34.912331999999999</v>
      </c>
      <c r="C43" s="3">
        <v>3.016</v>
      </c>
      <c r="D43" s="3"/>
      <c r="E43" s="3">
        <v>94.893488947597206</v>
      </c>
      <c r="F43" s="3">
        <v>791696</v>
      </c>
      <c r="G43" s="3">
        <v>2031.98</v>
      </c>
      <c r="H43" s="3">
        <v>205</v>
      </c>
      <c r="I43" s="3" t="s">
        <v>10</v>
      </c>
    </row>
    <row r="44" spans="1:9" x14ac:dyDescent="0.25">
      <c r="A44" t="s">
        <v>331</v>
      </c>
      <c r="B44" s="3">
        <v>34.992282000000003</v>
      </c>
      <c r="C44" s="3">
        <v>1.948</v>
      </c>
      <c r="D44" s="3"/>
      <c r="E44" s="3">
        <v>93.248169080025406</v>
      </c>
      <c r="F44" s="3">
        <v>1309428</v>
      </c>
      <c r="G44" s="3">
        <v>3435.99</v>
      </c>
      <c r="H44" s="3">
        <v>209</v>
      </c>
      <c r="I44" s="3" t="s">
        <v>10</v>
      </c>
    </row>
    <row r="45" spans="1:9" x14ac:dyDescent="0.25">
      <c r="A45" t="s">
        <v>332</v>
      </c>
      <c r="B45" s="3">
        <v>35.848566000000005</v>
      </c>
      <c r="C45" s="3">
        <v>2.1259999999999999</v>
      </c>
      <c r="D45" s="3"/>
      <c r="E45" s="3">
        <v>85.904424305253599</v>
      </c>
      <c r="F45" s="3">
        <v>1067760</v>
      </c>
      <c r="G45" s="3">
        <v>2788.1</v>
      </c>
      <c r="H45" s="3">
        <v>209</v>
      </c>
      <c r="I45" s="3" t="s">
        <v>12</v>
      </c>
    </row>
    <row r="46" spans="1:9" x14ac:dyDescent="0.25">
      <c r="A46" t="s">
        <v>333</v>
      </c>
      <c r="B46" s="3">
        <v>36.206274000000001</v>
      </c>
      <c r="C46" s="3">
        <v>3.4140000000000001</v>
      </c>
      <c r="D46" s="3"/>
      <c r="E46" s="3">
        <v>93.766511721231893</v>
      </c>
      <c r="F46" s="3">
        <v>1389612</v>
      </c>
      <c r="G46" s="3">
        <v>3632.79</v>
      </c>
      <c r="H46" s="3">
        <v>210</v>
      </c>
      <c r="I46" s="3" t="s">
        <v>10</v>
      </c>
    </row>
    <row r="47" spans="1:9" x14ac:dyDescent="0.25">
      <c r="A47" t="s">
        <v>334</v>
      </c>
      <c r="B47" s="3">
        <v>36.673572</v>
      </c>
      <c r="C47" s="3">
        <v>2.9729999999999999</v>
      </c>
      <c r="D47" s="3"/>
      <c r="E47" s="3">
        <v>91.549342875296702</v>
      </c>
      <c r="F47" s="3">
        <v>936202</v>
      </c>
      <c r="G47" s="3">
        <v>2623.44</v>
      </c>
      <c r="H47" s="3">
        <v>208</v>
      </c>
      <c r="I47" s="3" t="s">
        <v>10</v>
      </c>
    </row>
    <row r="48" spans="1:9" x14ac:dyDescent="0.25">
      <c r="A48" t="s">
        <v>335</v>
      </c>
      <c r="B48" s="3">
        <v>36.686</v>
      </c>
      <c r="C48" s="3">
        <v>3.6419999999999999</v>
      </c>
      <c r="D48" s="3"/>
      <c r="E48" s="3">
        <v>87.125037621643301</v>
      </c>
      <c r="F48" s="3">
        <v>734808</v>
      </c>
      <c r="G48" s="3">
        <v>1729.86</v>
      </c>
      <c r="H48" s="3">
        <v>201</v>
      </c>
      <c r="I48" s="3" t="s">
        <v>12</v>
      </c>
    </row>
    <row r="49" spans="1:9" x14ac:dyDescent="0.25">
      <c r="A49" t="s">
        <v>336</v>
      </c>
      <c r="B49" s="3">
        <v>36.726937</v>
      </c>
      <c r="C49" s="3">
        <v>3.7480000000000002</v>
      </c>
      <c r="D49" s="3"/>
      <c r="E49" s="3">
        <v>97.404942647894799</v>
      </c>
      <c r="F49" s="3">
        <v>1274918</v>
      </c>
      <c r="G49" s="3">
        <v>3388.67</v>
      </c>
      <c r="H49" s="3">
        <v>205</v>
      </c>
      <c r="I49" s="3" t="s">
        <v>10</v>
      </c>
    </row>
    <row r="50" spans="1:9" x14ac:dyDescent="0.25">
      <c r="A50" t="s">
        <v>337</v>
      </c>
      <c r="B50" s="3">
        <v>36.792067000000003</v>
      </c>
      <c r="C50" s="3">
        <v>3.7469999999999999</v>
      </c>
      <c r="D50" s="3"/>
      <c r="E50" s="3">
        <v>82.021870715312801</v>
      </c>
      <c r="F50" s="3">
        <v>1097990</v>
      </c>
      <c r="G50" s="3">
        <v>2419.62</v>
      </c>
      <c r="H50" s="3">
        <v>204</v>
      </c>
      <c r="I50" s="3" t="s">
        <v>12</v>
      </c>
    </row>
    <row r="51" spans="1:9" x14ac:dyDescent="0.25">
      <c r="A51" t="s">
        <v>338</v>
      </c>
      <c r="B51" s="3">
        <v>36.829792999999995</v>
      </c>
      <c r="C51" s="3">
        <v>2.4689999999999999</v>
      </c>
      <c r="D51" s="3"/>
      <c r="E51" s="3">
        <v>68.983045179413395</v>
      </c>
      <c r="F51" s="3">
        <v>1846570</v>
      </c>
      <c r="G51" s="3">
        <v>2568.83</v>
      </c>
      <c r="H51" s="3">
        <v>223</v>
      </c>
      <c r="I51" s="3" t="s">
        <v>12</v>
      </c>
    </row>
    <row r="52" spans="1:9" x14ac:dyDescent="0.25">
      <c r="A52" s="2" t="s">
        <v>339</v>
      </c>
      <c r="B52" s="1">
        <v>37.253463000000004</v>
      </c>
      <c r="C52" s="1">
        <v>0.54</v>
      </c>
      <c r="D52" s="1"/>
      <c r="E52" s="1">
        <v>93.3150520014714</v>
      </c>
      <c r="F52" s="1">
        <v>580150</v>
      </c>
      <c r="G52" s="1">
        <v>1503.05</v>
      </c>
      <c r="H52" s="1">
        <v>207</v>
      </c>
      <c r="I52" s="1" t="s">
        <v>10</v>
      </c>
    </row>
    <row r="53" spans="1:9" x14ac:dyDescent="0.25">
      <c r="A53" t="s">
        <v>340</v>
      </c>
      <c r="B53" s="3">
        <v>37.551136999999997</v>
      </c>
      <c r="C53" s="3">
        <v>2.3879999999999999</v>
      </c>
      <c r="D53" s="3"/>
      <c r="E53" s="3">
        <v>87.700230746078901</v>
      </c>
      <c r="F53" s="3">
        <v>132040</v>
      </c>
      <c r="G53" s="3">
        <v>329.32100000000003</v>
      </c>
      <c r="H53" s="3">
        <v>210</v>
      </c>
      <c r="I53" s="3" t="s">
        <v>12</v>
      </c>
    </row>
    <row r="54" spans="1:9" x14ac:dyDescent="0.25">
      <c r="A54" t="s">
        <v>341</v>
      </c>
      <c r="B54" s="3">
        <v>37.942073000000001</v>
      </c>
      <c r="C54" s="3">
        <v>3.74</v>
      </c>
      <c r="D54" s="3"/>
      <c r="E54" s="3">
        <v>66.451526602681994</v>
      </c>
      <c r="F54" s="3">
        <v>671796</v>
      </c>
      <c r="G54" s="3">
        <v>1169.6400000000001</v>
      </c>
      <c r="H54" s="3">
        <v>214</v>
      </c>
      <c r="I54" s="3" t="s">
        <v>12</v>
      </c>
    </row>
    <row r="55" spans="1:9" x14ac:dyDescent="0.25">
      <c r="A55" t="s">
        <v>342</v>
      </c>
      <c r="B55" s="3">
        <v>38.000326000000001</v>
      </c>
      <c r="C55" s="3">
        <v>7.4210000000000003</v>
      </c>
      <c r="D55" s="3"/>
      <c r="E55" s="39">
        <v>92.104471123298595</v>
      </c>
      <c r="F55" s="3">
        <v>1686332</v>
      </c>
      <c r="G55" s="3">
        <v>3756.41</v>
      </c>
      <c r="H55" s="3">
        <v>203</v>
      </c>
      <c r="I55" s="3" t="s">
        <v>10</v>
      </c>
    </row>
    <row r="56" spans="1:9" x14ac:dyDescent="0.25">
      <c r="A56" t="s">
        <v>343</v>
      </c>
      <c r="B56" s="3">
        <v>38.105314</v>
      </c>
      <c r="C56" s="3">
        <v>11.057</v>
      </c>
      <c r="D56" s="3"/>
      <c r="E56" s="39">
        <v>96.849814399892907</v>
      </c>
      <c r="F56" s="3">
        <v>1737708</v>
      </c>
      <c r="G56" s="3">
        <v>3925.12</v>
      </c>
      <c r="H56" s="3">
        <v>203</v>
      </c>
      <c r="I56" s="3" t="s">
        <v>10</v>
      </c>
    </row>
    <row r="57" spans="1:9" x14ac:dyDescent="0.25">
      <c r="A57" t="s">
        <v>344</v>
      </c>
      <c r="B57" s="3">
        <v>38.155013000000004</v>
      </c>
      <c r="C57" s="3">
        <v>6.9569999999999999</v>
      </c>
      <c r="D57" s="3"/>
      <c r="E57" s="3">
        <v>92.626157910577504</v>
      </c>
      <c r="F57" s="3">
        <v>1323144</v>
      </c>
      <c r="G57" s="3">
        <v>2684.55</v>
      </c>
      <c r="H57" s="3">
        <v>206</v>
      </c>
      <c r="I57" s="3" t="s">
        <v>10</v>
      </c>
    </row>
    <row r="58" spans="1:9" x14ac:dyDescent="0.25">
      <c r="A58" t="s">
        <v>345</v>
      </c>
      <c r="B58" s="3">
        <v>38.564838000000002</v>
      </c>
      <c r="C58" s="3">
        <v>0.81100000000000005</v>
      </c>
      <c r="D58" s="3"/>
      <c r="E58" s="3">
        <v>91.592816774236695</v>
      </c>
      <c r="F58" s="3">
        <v>1149174</v>
      </c>
      <c r="G58" s="3">
        <v>2799.44</v>
      </c>
      <c r="H58" s="3">
        <v>207</v>
      </c>
      <c r="I58" s="3" t="s">
        <v>10</v>
      </c>
    </row>
    <row r="59" spans="1:9" x14ac:dyDescent="0.25">
      <c r="A59" t="s">
        <v>346</v>
      </c>
      <c r="B59" s="3">
        <v>38.576966999999996</v>
      </c>
      <c r="C59" s="3">
        <v>2.968</v>
      </c>
      <c r="D59" s="3"/>
      <c r="E59" s="3" t="e">
        <v>#N/A</v>
      </c>
      <c r="F59" s="3" t="e">
        <v>#N/A</v>
      </c>
      <c r="G59" s="3" t="e">
        <v>#N/A</v>
      </c>
      <c r="H59" s="3">
        <v>223</v>
      </c>
      <c r="I59" s="3" t="s">
        <v>11</v>
      </c>
    </row>
    <row r="60" spans="1:9" x14ac:dyDescent="0.25">
      <c r="A60" t="s">
        <v>347</v>
      </c>
      <c r="B60" s="3">
        <v>38.583037999999995</v>
      </c>
      <c r="C60" s="3">
        <v>1.4239999999999999</v>
      </c>
      <c r="D60" s="3"/>
      <c r="E60" s="3">
        <v>84.513259539176602</v>
      </c>
      <c r="F60" s="3">
        <v>1456774</v>
      </c>
      <c r="G60" s="3">
        <v>4322.7700000000004</v>
      </c>
      <c r="H60" s="3">
        <v>209</v>
      </c>
      <c r="I60" s="3" t="s">
        <v>12</v>
      </c>
    </row>
    <row r="61" spans="1:9" x14ac:dyDescent="0.25">
      <c r="A61" t="s">
        <v>348</v>
      </c>
      <c r="B61" s="3">
        <v>38.595712999999996</v>
      </c>
      <c r="C61" s="3">
        <v>2.855</v>
      </c>
      <c r="D61" s="3"/>
      <c r="E61" s="3">
        <v>87.583185633548396</v>
      </c>
      <c r="F61" s="3">
        <v>1292784</v>
      </c>
      <c r="G61" s="3">
        <v>2121.5300000000002</v>
      </c>
      <c r="H61" s="3">
        <v>202</v>
      </c>
      <c r="I61" s="3" t="s">
        <v>12</v>
      </c>
    </row>
    <row r="62" spans="1:9" x14ac:dyDescent="0.25">
      <c r="A62" t="s">
        <v>349</v>
      </c>
      <c r="B62" s="3">
        <v>38.619476999999996</v>
      </c>
      <c r="C62" s="3">
        <v>4.6239999999999997</v>
      </c>
      <c r="D62" s="3"/>
      <c r="E62" s="3">
        <v>89.8572049627127</v>
      </c>
      <c r="F62" s="3">
        <v>972138</v>
      </c>
      <c r="G62" s="3">
        <v>2539.15</v>
      </c>
      <c r="H62" s="3">
        <v>204</v>
      </c>
      <c r="I62" s="3" t="s">
        <v>12</v>
      </c>
    </row>
    <row r="63" spans="1:9" x14ac:dyDescent="0.25">
      <c r="A63" t="s">
        <v>350</v>
      </c>
      <c r="B63" s="3">
        <v>38.619476999999996</v>
      </c>
      <c r="C63" s="3">
        <v>6.6890000000000001</v>
      </c>
      <c r="D63" s="3"/>
      <c r="E63" s="3">
        <v>88.3958131291174</v>
      </c>
      <c r="F63" s="3">
        <v>1132336</v>
      </c>
      <c r="G63" s="3">
        <v>3007.85</v>
      </c>
      <c r="H63" s="3">
        <v>207</v>
      </c>
      <c r="I63" s="3" t="s">
        <v>12</v>
      </c>
    </row>
    <row r="64" spans="1:9" x14ac:dyDescent="0.25">
      <c r="A64" t="s">
        <v>351</v>
      </c>
      <c r="B64" s="3">
        <v>38.651430999999995</v>
      </c>
      <c r="C64" s="3">
        <v>10.036</v>
      </c>
      <c r="D64" s="3"/>
      <c r="E64" s="3">
        <v>92.689696685951205</v>
      </c>
      <c r="F64" s="3">
        <v>1192126</v>
      </c>
      <c r="G64" s="3">
        <v>2699.03</v>
      </c>
      <c r="H64" s="3">
        <v>202</v>
      </c>
      <c r="I64" s="3" t="s">
        <v>10</v>
      </c>
    </row>
    <row r="65" spans="1:9" x14ac:dyDescent="0.25">
      <c r="A65" t="s">
        <v>352</v>
      </c>
      <c r="B65" s="3">
        <v>39.192243999999995</v>
      </c>
      <c r="C65" s="3">
        <v>3.1819999999999999</v>
      </c>
      <c r="D65" s="3"/>
      <c r="E65" s="3">
        <v>84.118650302645193</v>
      </c>
      <c r="F65" s="3">
        <v>3345332</v>
      </c>
      <c r="G65" s="3">
        <v>4338.41</v>
      </c>
      <c r="H65" s="3">
        <v>219</v>
      </c>
      <c r="I65" s="3" t="s">
        <v>12</v>
      </c>
    </row>
    <row r="66" spans="1:9" x14ac:dyDescent="0.25">
      <c r="A66" t="s">
        <v>353</v>
      </c>
      <c r="B66" s="3">
        <v>39.295737000000003</v>
      </c>
      <c r="C66" s="3">
        <v>5.1109999999999998</v>
      </c>
      <c r="D66" s="3"/>
      <c r="E66" s="3">
        <v>78.918503160217995</v>
      </c>
      <c r="F66" s="3">
        <v>1233198</v>
      </c>
      <c r="G66" s="3">
        <v>3144.24</v>
      </c>
      <c r="H66" s="3">
        <v>204</v>
      </c>
      <c r="I66" s="3" t="s">
        <v>12</v>
      </c>
    </row>
    <row r="67" spans="1:9" x14ac:dyDescent="0.25">
      <c r="A67" t="s">
        <v>354</v>
      </c>
      <c r="B67" s="3">
        <v>39.365546999999999</v>
      </c>
      <c r="C67" s="3">
        <v>4.1219999999999999</v>
      </c>
      <c r="D67" s="3"/>
      <c r="E67" s="3">
        <v>84.764070494599196</v>
      </c>
      <c r="F67" s="3">
        <v>1249454</v>
      </c>
      <c r="G67" s="3">
        <v>3024.1</v>
      </c>
      <c r="H67" s="3">
        <v>209</v>
      </c>
      <c r="I67" s="3" t="s">
        <v>12</v>
      </c>
    </row>
    <row r="68" spans="1:9" x14ac:dyDescent="0.25">
      <c r="A68" t="s">
        <v>355</v>
      </c>
      <c r="B68" s="3">
        <v>39.838616999999999</v>
      </c>
      <c r="C68" s="3">
        <v>1.7050000000000001</v>
      </c>
      <c r="D68" s="3"/>
      <c r="E68" s="3">
        <v>1.2105808781727501</v>
      </c>
      <c r="F68" s="3">
        <v>2133410</v>
      </c>
      <c r="G68" s="3">
        <v>0.600943</v>
      </c>
      <c r="H68" s="3">
        <v>206</v>
      </c>
      <c r="I68" s="3" t="s">
        <v>11</v>
      </c>
    </row>
    <row r="69" spans="1:9" x14ac:dyDescent="0.25">
      <c r="A69" t="s">
        <v>356</v>
      </c>
      <c r="B69" s="3">
        <v>39.841750000000005</v>
      </c>
      <c r="C69" s="3">
        <v>4.34</v>
      </c>
      <c r="D69" s="3"/>
      <c r="E69" s="3">
        <v>94.846670902585004</v>
      </c>
      <c r="F69" s="3">
        <v>934978</v>
      </c>
      <c r="G69" s="3">
        <v>2252.63</v>
      </c>
      <c r="H69" s="3">
        <v>206</v>
      </c>
      <c r="I69" s="3" t="s">
        <v>10</v>
      </c>
    </row>
    <row r="70" spans="1:9" x14ac:dyDescent="0.25">
      <c r="A70" t="s">
        <v>357</v>
      </c>
      <c r="B70" s="3">
        <v>39.851148999999999</v>
      </c>
      <c r="C70" s="3">
        <v>2.2200000000000002</v>
      </c>
      <c r="D70" s="3"/>
      <c r="E70" s="3">
        <v>92.676320101662</v>
      </c>
      <c r="F70" s="3">
        <v>2876946</v>
      </c>
      <c r="G70" s="3">
        <v>7178.74</v>
      </c>
      <c r="H70" s="3">
        <v>221</v>
      </c>
      <c r="I70" s="3" t="s">
        <v>10</v>
      </c>
    </row>
    <row r="71" spans="1:9" x14ac:dyDescent="0.25">
      <c r="A71" t="s">
        <v>358</v>
      </c>
      <c r="B71" s="3">
        <v>39.859000999999999</v>
      </c>
      <c r="C71" s="3">
        <v>0.56899999999999995</v>
      </c>
      <c r="D71" s="3"/>
      <c r="E71" s="3">
        <v>96.084004949336105</v>
      </c>
      <c r="F71" s="3">
        <v>1245038</v>
      </c>
      <c r="G71" s="3">
        <v>3335.03</v>
      </c>
      <c r="H71" s="3">
        <v>207</v>
      </c>
      <c r="I71" s="3" t="s">
        <v>10</v>
      </c>
    </row>
    <row r="72" spans="1:9" x14ac:dyDescent="0.25">
      <c r="B72" s="3"/>
      <c r="C72" s="3"/>
      <c r="D72" s="3"/>
      <c r="E72" s="3"/>
      <c r="F72" s="3"/>
      <c r="G72" s="3"/>
      <c r="H72" s="3"/>
      <c r="I72" s="3"/>
    </row>
    <row r="73" spans="1:9" x14ac:dyDescent="0.25">
      <c r="B73" s="3"/>
      <c r="C73" s="3"/>
      <c r="D73" s="3"/>
      <c r="E73" s="3"/>
      <c r="F73" s="3"/>
      <c r="G73" s="3"/>
      <c r="H73" s="3"/>
      <c r="I73" s="3"/>
    </row>
    <row r="74" spans="1:9" x14ac:dyDescent="0.25">
      <c r="B74" s="3"/>
      <c r="C74" s="3"/>
      <c r="D74" s="3"/>
      <c r="E74" s="3"/>
      <c r="F74" s="3"/>
      <c r="G74" s="3"/>
      <c r="H74" s="3"/>
      <c r="I74" s="3"/>
    </row>
    <row r="75" spans="1:9" x14ac:dyDescent="0.25">
      <c r="B75" s="3"/>
      <c r="C75" s="3"/>
      <c r="D75" s="3"/>
      <c r="E75" s="3"/>
      <c r="F75" s="3"/>
      <c r="G75" s="3"/>
      <c r="H75" s="3"/>
      <c r="I75" s="3"/>
    </row>
    <row r="76" spans="1:9" x14ac:dyDescent="0.25">
      <c r="B76" s="3"/>
      <c r="C76" s="3"/>
      <c r="D76" s="3"/>
      <c r="E76" s="3"/>
      <c r="F76" s="3"/>
      <c r="G76" s="3"/>
      <c r="H76" s="3"/>
      <c r="I76" s="3"/>
    </row>
    <row r="77" spans="1:9" x14ac:dyDescent="0.25">
      <c r="B77" s="3"/>
      <c r="C77" s="3"/>
      <c r="D77" s="3"/>
      <c r="E77" s="3"/>
      <c r="F77" s="3"/>
      <c r="G77" s="3"/>
      <c r="H77" s="3"/>
      <c r="I77" s="3"/>
    </row>
    <row r="78" spans="1:9" x14ac:dyDescent="0.25">
      <c r="B78" s="3"/>
      <c r="C78" s="3"/>
      <c r="D78" s="3"/>
      <c r="E78" s="3"/>
      <c r="F78" s="3"/>
      <c r="G78" s="3"/>
      <c r="H78" s="3"/>
      <c r="I78" s="3"/>
    </row>
    <row r="79" spans="1:9" x14ac:dyDescent="0.25">
      <c r="B79" s="3"/>
      <c r="C79" s="3"/>
      <c r="D79" s="3"/>
      <c r="E79" s="3"/>
      <c r="F79" s="3"/>
      <c r="G79" s="3"/>
      <c r="H79" s="3"/>
      <c r="I79" s="3"/>
    </row>
    <row r="80" spans="1:9" x14ac:dyDescent="0.25">
      <c r="B80" s="3"/>
      <c r="C80" s="3"/>
      <c r="D80" s="3"/>
      <c r="E80" s="3"/>
      <c r="F80" s="3"/>
      <c r="G80" s="3"/>
      <c r="H80" s="3"/>
      <c r="I80" s="3"/>
    </row>
    <row r="81" spans="2:9" x14ac:dyDescent="0.25">
      <c r="B81" s="3"/>
      <c r="C81" s="3"/>
      <c r="D81" s="3"/>
      <c r="E81" s="3"/>
      <c r="F81" s="3"/>
      <c r="G81" s="3"/>
      <c r="H81" s="3"/>
      <c r="I81" s="3"/>
    </row>
    <row r="82" spans="2:9" x14ac:dyDescent="0.25">
      <c r="B82" s="3"/>
      <c r="C82" s="3"/>
      <c r="D82" s="3"/>
      <c r="E82" s="3"/>
      <c r="F82" s="3"/>
      <c r="G82" s="3"/>
      <c r="H82" s="3"/>
      <c r="I82" s="3"/>
    </row>
    <row r="83" spans="2:9" x14ac:dyDescent="0.25">
      <c r="B83" s="3"/>
      <c r="C83" s="3"/>
      <c r="D83" s="3"/>
      <c r="E83" s="3"/>
      <c r="F83" s="3"/>
      <c r="G83" s="3"/>
      <c r="H83" s="3"/>
      <c r="I83" s="3"/>
    </row>
    <row r="84" spans="2:9" x14ac:dyDescent="0.25">
      <c r="B84" s="3"/>
      <c r="C84" s="3"/>
      <c r="D84" s="3"/>
      <c r="E84" s="3"/>
      <c r="F84" s="3"/>
      <c r="G84" s="3"/>
      <c r="H84" s="3"/>
      <c r="I84" s="3"/>
    </row>
    <row r="85" spans="2:9" x14ac:dyDescent="0.25">
      <c r="B85" s="3"/>
      <c r="C85" s="3"/>
      <c r="D85" s="3"/>
      <c r="E85" s="3"/>
      <c r="F85" s="3"/>
      <c r="G85" s="3"/>
      <c r="H85" s="3"/>
      <c r="I85" s="3"/>
    </row>
    <row r="86" spans="2:9" x14ac:dyDescent="0.25">
      <c r="B86" s="3"/>
      <c r="C86" s="3"/>
      <c r="D86" s="3"/>
      <c r="E86" s="3"/>
      <c r="F86" s="3"/>
      <c r="G86" s="3"/>
      <c r="H86" s="3"/>
      <c r="I86" s="3"/>
    </row>
    <row r="87" spans="2:9" x14ac:dyDescent="0.25">
      <c r="B87" s="3"/>
      <c r="C87" s="3"/>
      <c r="D87" s="3"/>
      <c r="E87" s="3"/>
      <c r="F87" s="3"/>
      <c r="G87" s="3"/>
      <c r="H87" s="3"/>
      <c r="I87" s="3"/>
    </row>
    <row r="88" spans="2:9" x14ac:dyDescent="0.25">
      <c r="B88" s="3"/>
      <c r="C88" s="3"/>
      <c r="D88" s="3"/>
      <c r="E88" s="3"/>
      <c r="F88" s="3"/>
      <c r="G88" s="3"/>
      <c r="H88" s="3"/>
      <c r="I88" s="3"/>
    </row>
    <row r="89" spans="2:9" x14ac:dyDescent="0.25">
      <c r="B89" s="3"/>
      <c r="C89" s="3"/>
      <c r="D89" s="3"/>
      <c r="E89" s="3"/>
      <c r="F89" s="3"/>
      <c r="G89" s="3"/>
      <c r="H89" s="3"/>
      <c r="I89" s="3"/>
    </row>
    <row r="90" spans="2:9" x14ac:dyDescent="0.25">
      <c r="B90" s="3"/>
      <c r="C90" s="3"/>
      <c r="D90" s="3"/>
      <c r="E90" s="3"/>
      <c r="F90" s="3"/>
      <c r="G90" s="3"/>
      <c r="H90" s="3"/>
      <c r="I90" s="3"/>
    </row>
    <row r="91" spans="2:9" x14ac:dyDescent="0.25">
      <c r="B91" s="3"/>
      <c r="C91" s="3"/>
      <c r="D91" s="3"/>
      <c r="E91" s="3"/>
      <c r="F91" s="3"/>
      <c r="G91" s="3"/>
      <c r="H91" s="3"/>
      <c r="I91" s="3"/>
    </row>
  </sheetData>
  <conditionalFormatting sqref="A1:A1048576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E4CE5-576C-47B9-B0D8-97645CFC916B}">
  <dimension ref="A1:R75"/>
  <sheetViews>
    <sheetView workbookViewId="0">
      <selection activeCell="E31" sqref="E31"/>
    </sheetView>
  </sheetViews>
  <sheetFormatPr defaultRowHeight="15" x14ac:dyDescent="0.25"/>
  <cols>
    <col min="1" max="1" width="33.7109375" customWidth="1"/>
    <col min="2" max="2" width="23.7109375" customWidth="1"/>
    <col min="3" max="3" width="24" customWidth="1"/>
    <col min="4" max="4" width="23.140625" customWidth="1"/>
    <col min="5" max="5" width="17.140625" customWidth="1"/>
    <col min="6" max="6" width="25.7109375" customWidth="1"/>
    <col min="7" max="7" width="17.7109375" customWidth="1"/>
    <col min="8" max="8" width="9" customWidth="1"/>
    <col min="12" max="12" width="11.7109375" customWidth="1"/>
    <col min="13" max="13" width="12.28515625" customWidth="1"/>
    <col min="14" max="14" width="13.28515625" customWidth="1"/>
    <col min="15" max="15" width="11.5703125" customWidth="1"/>
    <col min="16" max="16" width="14.42578125" customWidth="1"/>
    <col min="17" max="17" width="16.42578125" customWidth="1"/>
    <col min="18" max="18" width="18.28515625" customWidth="1"/>
  </cols>
  <sheetData>
    <row r="1" spans="1:18" x14ac:dyDescent="0.25">
      <c r="A1" s="8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4" t="s">
        <v>8</v>
      </c>
      <c r="I1" s="11" t="s">
        <v>19</v>
      </c>
      <c r="L1" s="5" t="s">
        <v>13</v>
      </c>
      <c r="M1" s="6" t="s">
        <v>14</v>
      </c>
      <c r="N1" s="6" t="s">
        <v>15</v>
      </c>
      <c r="O1" s="6" t="s">
        <v>16</v>
      </c>
      <c r="P1" s="6" t="s">
        <v>9</v>
      </c>
      <c r="Q1" s="6" t="s">
        <v>17</v>
      </c>
      <c r="R1" s="7" t="s">
        <v>18</v>
      </c>
    </row>
    <row r="2" spans="1:18" x14ac:dyDescent="0.25">
      <c r="A2" s="12" t="s">
        <v>359</v>
      </c>
      <c r="B2" s="13">
        <v>40.415790999999999</v>
      </c>
      <c r="C2" s="13">
        <v>8.3490000000000002</v>
      </c>
      <c r="D2" s="13"/>
      <c r="E2" s="13">
        <v>90.870481222619802</v>
      </c>
      <c r="F2" s="13">
        <v>2036732</v>
      </c>
      <c r="G2" s="13">
        <v>4605.6099999999997</v>
      </c>
      <c r="H2" s="13">
        <v>203</v>
      </c>
      <c r="I2" s="14" t="s">
        <v>10</v>
      </c>
      <c r="L2">
        <f>COUNTIF(I2:I42,"A")</f>
        <v>24</v>
      </c>
      <c r="M2">
        <f>COUNTIF(I2:I42,"B")</f>
        <v>11</v>
      </c>
      <c r="N2">
        <f>SUM(L2:M2)</f>
        <v>35</v>
      </c>
      <c r="O2">
        <f>COUNTIF(I1:I42,"C")</f>
        <v>0</v>
      </c>
      <c r="P2">
        <f>(O2/(L2+M2+O2))*100</f>
        <v>0</v>
      </c>
      <c r="Q2">
        <f>(L2/(L2+M2+O2))*100</f>
        <v>68.571428571428569</v>
      </c>
      <c r="R2">
        <f>(N2/(N2+O2))*100</f>
        <v>100</v>
      </c>
    </row>
    <row r="3" spans="1:18" x14ac:dyDescent="0.25">
      <c r="A3" s="15" t="s">
        <v>360</v>
      </c>
      <c r="B3" s="16">
        <v>40.453932999999999</v>
      </c>
      <c r="C3" s="16">
        <v>1.6859999999999999</v>
      </c>
      <c r="D3" s="16"/>
      <c r="E3" s="16">
        <v>61.084172156639802</v>
      </c>
      <c r="F3" s="16">
        <v>1747642</v>
      </c>
      <c r="G3" s="16">
        <v>3751.9</v>
      </c>
      <c r="H3" s="16">
        <v>224</v>
      </c>
      <c r="I3" s="17" t="s">
        <v>12</v>
      </c>
    </row>
    <row r="4" spans="1:18" x14ac:dyDescent="0.25">
      <c r="A4" s="12" t="s">
        <v>361</v>
      </c>
      <c r="B4" s="13">
        <v>40.500122000000005</v>
      </c>
      <c r="C4" s="13">
        <v>3.3330000000000002</v>
      </c>
      <c r="D4" s="13"/>
      <c r="E4" s="13">
        <v>81.376450523358798</v>
      </c>
      <c r="F4" s="13">
        <v>3542560</v>
      </c>
      <c r="G4" s="13">
        <v>6797.2</v>
      </c>
      <c r="H4" s="13">
        <v>216</v>
      </c>
      <c r="I4" s="14" t="s">
        <v>12</v>
      </c>
    </row>
    <row r="5" spans="1:18" x14ac:dyDescent="0.25">
      <c r="A5" s="15" t="s">
        <v>362</v>
      </c>
      <c r="B5" s="16">
        <v>41.111057000000002</v>
      </c>
      <c r="C5" s="16">
        <v>6.1970000000000001</v>
      </c>
      <c r="D5" s="16"/>
      <c r="E5" s="16">
        <v>91.780088954285503</v>
      </c>
      <c r="F5" s="16">
        <v>1238986</v>
      </c>
      <c r="G5" s="16">
        <v>3170.73</v>
      </c>
      <c r="H5" s="16">
        <v>202</v>
      </c>
      <c r="I5" s="17" t="s">
        <v>10</v>
      </c>
    </row>
    <row r="6" spans="1:18" x14ac:dyDescent="0.25">
      <c r="A6" s="12" t="s">
        <v>363</v>
      </c>
      <c r="B6" s="13">
        <v>41.167775999999996</v>
      </c>
      <c r="C6" s="13">
        <v>3.7559999999999998</v>
      </c>
      <c r="D6" s="13"/>
      <c r="E6" s="13">
        <v>88.713507005986003</v>
      </c>
      <c r="F6" s="13">
        <v>920970</v>
      </c>
      <c r="G6" s="13">
        <v>2409.6</v>
      </c>
      <c r="H6" s="13">
        <v>202</v>
      </c>
      <c r="I6" s="14" t="s">
        <v>12</v>
      </c>
    </row>
    <row r="7" spans="1:18" x14ac:dyDescent="0.25">
      <c r="A7" s="15" t="s">
        <v>364</v>
      </c>
      <c r="B7" s="16">
        <v>41.690999999999995</v>
      </c>
      <c r="C7" s="16">
        <v>4.5750000000000002</v>
      </c>
      <c r="D7" s="16"/>
      <c r="E7" s="16">
        <v>97.341403872521099</v>
      </c>
      <c r="F7" s="16">
        <v>1351420</v>
      </c>
      <c r="G7" s="16">
        <v>3482.7</v>
      </c>
      <c r="H7" s="16">
        <v>200</v>
      </c>
      <c r="I7" s="17" t="s">
        <v>10</v>
      </c>
    </row>
    <row r="8" spans="1:18" x14ac:dyDescent="0.25">
      <c r="A8" s="12" t="s">
        <v>365</v>
      </c>
      <c r="B8" s="13">
        <v>41.701959000000002</v>
      </c>
      <c r="C8" s="13">
        <v>9.5440000000000005</v>
      </c>
      <c r="D8" s="13"/>
      <c r="E8" s="13">
        <v>98.672374009296703</v>
      </c>
      <c r="F8" s="13">
        <v>1380478</v>
      </c>
      <c r="G8" s="13">
        <v>3739</v>
      </c>
      <c r="H8" s="13">
        <v>207</v>
      </c>
      <c r="I8" s="14" t="s">
        <v>10</v>
      </c>
    </row>
    <row r="9" spans="1:18" x14ac:dyDescent="0.25">
      <c r="A9" s="15" t="s">
        <v>366</v>
      </c>
      <c r="B9" s="16">
        <v>42.306900999999996</v>
      </c>
      <c r="C9" s="16">
        <v>4.734</v>
      </c>
      <c r="D9" s="16"/>
      <c r="E9" s="16">
        <v>86.773902284051701</v>
      </c>
      <c r="F9" s="16">
        <v>779636</v>
      </c>
      <c r="G9" s="16">
        <v>1839.11</v>
      </c>
      <c r="H9" s="16">
        <v>205</v>
      </c>
      <c r="I9" s="17" t="s">
        <v>12</v>
      </c>
    </row>
    <row r="10" spans="1:18" x14ac:dyDescent="0.25">
      <c r="A10" s="12" t="s">
        <v>367</v>
      </c>
      <c r="B10" s="13">
        <v>42.933280000000003</v>
      </c>
      <c r="C10" s="13">
        <v>6.7530000000000001</v>
      </c>
      <c r="D10" s="13"/>
      <c r="E10" s="13">
        <v>89.689997659097699</v>
      </c>
      <c r="F10" s="13">
        <v>1016372</v>
      </c>
      <c r="G10" s="13">
        <v>1993.04</v>
      </c>
      <c r="H10" s="13">
        <v>206</v>
      </c>
      <c r="I10" s="14" t="s">
        <v>12</v>
      </c>
    </row>
    <row r="11" spans="1:18" x14ac:dyDescent="0.25">
      <c r="A11" s="15" t="s">
        <v>368</v>
      </c>
      <c r="B11" s="16">
        <v>43.179434999999998</v>
      </c>
      <c r="C11" s="16">
        <v>8.1790000000000003</v>
      </c>
      <c r="D11" s="16"/>
      <c r="E11" s="16">
        <v>95.468682072032905</v>
      </c>
      <c r="F11" s="16">
        <v>1488744</v>
      </c>
      <c r="G11" s="16">
        <v>3839.86</v>
      </c>
      <c r="H11" s="16">
        <v>204</v>
      </c>
      <c r="I11" s="17" t="s">
        <v>10</v>
      </c>
    </row>
    <row r="12" spans="1:18" x14ac:dyDescent="0.25">
      <c r="A12" s="12" t="s">
        <v>369</v>
      </c>
      <c r="B12" s="13">
        <v>43.518721999999997</v>
      </c>
      <c r="C12" s="13">
        <v>7.234</v>
      </c>
      <c r="D12" s="13"/>
      <c r="E12" s="13">
        <v>89.950841052737104</v>
      </c>
      <c r="F12" s="13">
        <v>618826</v>
      </c>
      <c r="G12" s="13">
        <v>1564.33</v>
      </c>
      <c r="H12" s="13">
        <v>207</v>
      </c>
      <c r="I12" s="14" t="s">
        <v>12</v>
      </c>
    </row>
    <row r="13" spans="1:18" x14ac:dyDescent="0.25">
      <c r="A13" s="15" t="s">
        <v>370</v>
      </c>
      <c r="B13" s="16">
        <v>43.523843999999997</v>
      </c>
      <c r="C13" s="16">
        <v>0.184</v>
      </c>
      <c r="D13" s="16"/>
      <c r="E13" s="16">
        <v>98.247667458114506</v>
      </c>
      <c r="F13" s="16">
        <v>1145184</v>
      </c>
      <c r="G13" s="16">
        <v>3235.17</v>
      </c>
      <c r="H13" s="16">
        <v>207</v>
      </c>
      <c r="I13" s="17" t="s">
        <v>10</v>
      </c>
    </row>
    <row r="14" spans="1:18" x14ac:dyDescent="0.25">
      <c r="A14" s="12" t="s">
        <v>371</v>
      </c>
      <c r="B14" s="13">
        <v>43.580342000000002</v>
      </c>
      <c r="C14" s="13">
        <v>6.2850000000000001</v>
      </c>
      <c r="D14" s="13"/>
      <c r="E14" s="13">
        <v>85.857606260241397</v>
      </c>
      <c r="F14" s="13">
        <v>1261646</v>
      </c>
      <c r="G14" s="13">
        <v>3009.48</v>
      </c>
      <c r="H14" s="13">
        <v>212</v>
      </c>
      <c r="I14" s="14" t="s">
        <v>12</v>
      </c>
    </row>
    <row r="15" spans="1:18" x14ac:dyDescent="0.25">
      <c r="A15" s="15" t="s">
        <v>372</v>
      </c>
      <c r="B15" s="16">
        <v>43.602649999999997</v>
      </c>
      <c r="C15" s="16">
        <v>8.391</v>
      </c>
      <c r="D15" s="16"/>
      <c r="E15" s="40">
        <v>96.849814399892907</v>
      </c>
      <c r="F15" s="16">
        <v>2098092</v>
      </c>
      <c r="G15" s="16">
        <v>4420.04</v>
      </c>
      <c r="H15" s="16">
        <v>203</v>
      </c>
      <c r="I15" s="17" t="s">
        <v>10</v>
      </c>
    </row>
    <row r="16" spans="1:18" x14ac:dyDescent="0.25">
      <c r="A16" s="12" t="s">
        <v>373</v>
      </c>
      <c r="B16" s="13">
        <v>43.606082000000001</v>
      </c>
      <c r="C16" s="13">
        <v>5.4290000000000003</v>
      </c>
      <c r="D16" s="13"/>
      <c r="E16" s="13">
        <v>88.960973815336203</v>
      </c>
      <c r="F16" s="13">
        <v>1246686</v>
      </c>
      <c r="G16" s="13">
        <v>2979.5</v>
      </c>
      <c r="H16" s="13">
        <v>211</v>
      </c>
      <c r="I16" s="14" t="s">
        <v>12</v>
      </c>
    </row>
    <row r="17" spans="1:9" x14ac:dyDescent="0.25">
      <c r="A17" s="15" t="s">
        <v>374</v>
      </c>
      <c r="B17" s="16">
        <v>43.685174000000004</v>
      </c>
      <c r="C17" s="16">
        <v>10.593</v>
      </c>
      <c r="D17" s="16"/>
      <c r="E17" s="16">
        <v>97.431695816473194</v>
      </c>
      <c r="F17" s="16">
        <v>1589972</v>
      </c>
      <c r="G17" s="16">
        <v>4199.93</v>
      </c>
      <c r="H17" s="16">
        <v>211</v>
      </c>
      <c r="I17" s="17" t="s">
        <v>10</v>
      </c>
    </row>
    <row r="18" spans="1:9" x14ac:dyDescent="0.25">
      <c r="A18" s="12" t="s">
        <v>375</v>
      </c>
      <c r="B18" s="13">
        <v>44.120479000000003</v>
      </c>
      <c r="C18" s="13">
        <v>0.216</v>
      </c>
      <c r="D18" s="13"/>
      <c r="E18" s="13">
        <v>98.729224492525802</v>
      </c>
      <c r="F18" s="13">
        <v>1113986</v>
      </c>
      <c r="G18" s="13">
        <v>3102.47</v>
      </c>
      <c r="H18" s="13">
        <v>207</v>
      </c>
      <c r="I18" s="14" t="s">
        <v>10</v>
      </c>
    </row>
    <row r="19" spans="1:9" x14ac:dyDescent="0.25">
      <c r="A19" s="15" t="s">
        <v>376</v>
      </c>
      <c r="B19" s="16">
        <v>44.149949999999997</v>
      </c>
      <c r="C19" s="16">
        <v>8.26</v>
      </c>
      <c r="D19" s="16"/>
      <c r="E19" s="40">
        <v>97.354780456810303</v>
      </c>
      <c r="F19" s="16">
        <v>2425808</v>
      </c>
      <c r="G19" s="16">
        <v>5511.07</v>
      </c>
      <c r="H19" s="16">
        <v>203</v>
      </c>
      <c r="I19" s="17" t="s">
        <v>10</v>
      </c>
    </row>
    <row r="20" spans="1:9" x14ac:dyDescent="0.25">
      <c r="A20" s="12" t="s">
        <v>377</v>
      </c>
      <c r="B20" s="13">
        <v>44.341596000000003</v>
      </c>
      <c r="C20" s="13">
        <v>3.6190000000000002</v>
      </c>
      <c r="D20" s="13"/>
      <c r="E20" s="13">
        <v>93.368558338628205</v>
      </c>
      <c r="F20" s="13">
        <v>1206710</v>
      </c>
      <c r="G20" s="13">
        <v>3203.32</v>
      </c>
      <c r="H20" s="13">
        <v>202</v>
      </c>
      <c r="I20" s="14" t="s">
        <v>10</v>
      </c>
    </row>
    <row r="21" spans="1:9" x14ac:dyDescent="0.25">
      <c r="A21" s="15" t="s">
        <v>378</v>
      </c>
      <c r="B21" s="16">
        <v>44.345092999999999</v>
      </c>
      <c r="C21" s="16">
        <v>6.9550000000000001</v>
      </c>
      <c r="D21" s="16"/>
      <c r="E21" s="16">
        <v>91.820218707153103</v>
      </c>
      <c r="F21" s="16">
        <v>389536</v>
      </c>
      <c r="G21" s="16">
        <v>845.02599999999995</v>
      </c>
      <c r="H21" s="16">
        <v>206</v>
      </c>
      <c r="I21" s="17" t="s">
        <v>10</v>
      </c>
    </row>
    <row r="22" spans="1:9" x14ac:dyDescent="0.25">
      <c r="A22" s="12" t="s">
        <v>379</v>
      </c>
      <c r="B22" s="13">
        <v>45.445399999999999</v>
      </c>
      <c r="C22" s="13">
        <v>2.8140000000000001</v>
      </c>
      <c r="D22" s="13"/>
      <c r="E22" s="13">
        <v>87.031401531618897</v>
      </c>
      <c r="F22" s="13">
        <v>1771838</v>
      </c>
      <c r="G22" s="13">
        <v>3433.22</v>
      </c>
      <c r="H22" s="13">
        <v>215</v>
      </c>
      <c r="I22" s="14" t="s">
        <v>12</v>
      </c>
    </row>
    <row r="23" spans="1:9" x14ac:dyDescent="0.25">
      <c r="A23" s="15" t="s">
        <v>380</v>
      </c>
      <c r="B23" s="16">
        <v>45.466862999999996</v>
      </c>
      <c r="C23" s="16">
        <v>1.236</v>
      </c>
      <c r="D23" s="16"/>
      <c r="E23" s="16">
        <v>97.080560478881694</v>
      </c>
      <c r="F23" s="16">
        <v>1341846</v>
      </c>
      <c r="G23" s="16">
        <v>4058.15</v>
      </c>
      <c r="H23" s="16">
        <v>209</v>
      </c>
      <c r="I23" s="17" t="s">
        <v>10</v>
      </c>
    </row>
    <row r="24" spans="1:9" x14ac:dyDescent="0.25">
      <c r="A24" s="12" t="s">
        <v>381</v>
      </c>
      <c r="B24" s="13">
        <v>45.863948000000001</v>
      </c>
      <c r="C24" s="13">
        <v>3.8239999999999998</v>
      </c>
      <c r="D24" s="13"/>
      <c r="E24" s="13">
        <v>80.1692137912584</v>
      </c>
      <c r="F24" s="13">
        <v>1040824</v>
      </c>
      <c r="G24" s="13">
        <v>2346.7199999999998</v>
      </c>
      <c r="H24" s="13">
        <v>212</v>
      </c>
      <c r="I24" s="14" t="s">
        <v>12</v>
      </c>
    </row>
    <row r="25" spans="1:9" x14ac:dyDescent="0.25">
      <c r="A25" s="15" t="s">
        <v>382</v>
      </c>
      <c r="B25" s="16">
        <v>46.037380999999996</v>
      </c>
      <c r="C25" s="16">
        <v>7.4009999999999998</v>
      </c>
      <c r="D25" s="16"/>
      <c r="E25" s="16">
        <v>92.853559843493898</v>
      </c>
      <c r="F25" s="16">
        <v>1362448</v>
      </c>
      <c r="G25" s="16">
        <v>3487.94</v>
      </c>
      <c r="H25" s="16">
        <v>202</v>
      </c>
      <c r="I25" s="17" t="s">
        <v>10</v>
      </c>
    </row>
    <row r="26" spans="1:9" x14ac:dyDescent="0.25">
      <c r="A26" s="12" t="s">
        <v>383</v>
      </c>
      <c r="B26" s="13">
        <v>46.117824999999996</v>
      </c>
      <c r="C26" s="13">
        <v>0.314</v>
      </c>
      <c r="D26" s="13"/>
      <c r="E26" s="13">
        <v>92.729826438818804</v>
      </c>
      <c r="F26" s="13">
        <v>670994</v>
      </c>
      <c r="G26" s="13">
        <v>1659.63</v>
      </c>
      <c r="H26" s="13">
        <v>207</v>
      </c>
      <c r="I26" s="14" t="s">
        <v>10</v>
      </c>
    </row>
    <row r="27" spans="1:9" x14ac:dyDescent="0.25">
      <c r="A27" s="15" t="s">
        <v>384</v>
      </c>
      <c r="B27" s="16">
        <v>46.221564999999998</v>
      </c>
      <c r="C27" s="16">
        <v>5.7119999999999997</v>
      </c>
      <c r="D27" s="16"/>
      <c r="E27" s="16">
        <v>97.518643614352996</v>
      </c>
      <c r="F27" s="16">
        <v>1140920</v>
      </c>
      <c r="G27" s="16">
        <v>3014.57</v>
      </c>
      <c r="H27" s="16">
        <v>202</v>
      </c>
      <c r="I27" s="17" t="s">
        <v>10</v>
      </c>
    </row>
    <row r="28" spans="1:9" x14ac:dyDescent="0.25">
      <c r="A28" s="12" t="s">
        <v>385</v>
      </c>
      <c r="B28" s="13">
        <v>46.695987000000002</v>
      </c>
      <c r="C28" s="13">
        <v>4.0659999999999998</v>
      </c>
      <c r="D28" s="13"/>
      <c r="E28" s="13">
        <v>91.037688526234803</v>
      </c>
      <c r="F28" s="13">
        <v>1233596</v>
      </c>
      <c r="G28" s="13">
        <v>3029.32</v>
      </c>
      <c r="H28" s="13">
        <v>202</v>
      </c>
      <c r="I28" s="14" t="s">
        <v>10</v>
      </c>
    </row>
    <row r="29" spans="1:9" x14ac:dyDescent="0.25">
      <c r="A29" s="15" t="s">
        <v>386</v>
      </c>
      <c r="B29" s="16">
        <v>47.329242999999998</v>
      </c>
      <c r="C29" s="16">
        <v>5.05</v>
      </c>
      <c r="D29" s="16"/>
      <c r="E29" s="16">
        <v>96.274621275457307</v>
      </c>
      <c r="F29" s="16">
        <v>921812</v>
      </c>
      <c r="G29" s="16">
        <v>2620.4499999999998</v>
      </c>
      <c r="H29" s="16">
        <v>204</v>
      </c>
      <c r="I29" s="17" t="s">
        <v>10</v>
      </c>
    </row>
    <row r="30" spans="1:9" x14ac:dyDescent="0.25">
      <c r="A30" s="12" t="s">
        <v>387</v>
      </c>
      <c r="B30" s="13">
        <v>47.826999999999998</v>
      </c>
      <c r="C30" s="13">
        <v>5.109</v>
      </c>
      <c r="D30" s="13"/>
      <c r="E30" s="13">
        <v>95.843226432130507</v>
      </c>
      <c r="F30" s="13">
        <v>1361364</v>
      </c>
      <c r="G30" s="13">
        <v>3492.14</v>
      </c>
      <c r="H30" s="13">
        <v>200</v>
      </c>
      <c r="I30" s="14" t="s">
        <v>10</v>
      </c>
    </row>
    <row r="31" spans="1:9" x14ac:dyDescent="0.25">
      <c r="A31" s="15" t="s">
        <v>388</v>
      </c>
      <c r="B31" s="16">
        <v>48.618335999999999</v>
      </c>
      <c r="C31" s="16">
        <v>6.5670000000000002</v>
      </c>
      <c r="D31" s="16"/>
      <c r="E31" s="40">
        <v>84.272481021971004</v>
      </c>
      <c r="F31" s="16">
        <v>1127876</v>
      </c>
      <c r="G31" s="16">
        <v>2247.41</v>
      </c>
      <c r="H31" s="16">
        <v>203</v>
      </c>
      <c r="I31" s="17" t="s">
        <v>12</v>
      </c>
    </row>
    <row r="32" spans="1:9" x14ac:dyDescent="0.25">
      <c r="A32" s="12" t="s">
        <v>389</v>
      </c>
      <c r="B32" s="13">
        <v>48.75</v>
      </c>
      <c r="C32" s="13">
        <v>9.5139999999999993</v>
      </c>
      <c r="D32" s="13"/>
      <c r="E32" s="13">
        <v>94.528977025716401</v>
      </c>
      <c r="F32" s="13">
        <v>1646144</v>
      </c>
      <c r="G32" s="13">
        <v>3823</v>
      </c>
      <c r="H32" s="13">
        <v>201</v>
      </c>
      <c r="I32" s="14" t="s">
        <v>10</v>
      </c>
    </row>
    <row r="33" spans="1:9" x14ac:dyDescent="0.25">
      <c r="A33" s="15" t="s">
        <v>390</v>
      </c>
      <c r="B33" s="16">
        <v>49.150672999999998</v>
      </c>
      <c r="C33" s="16">
        <v>4.8099999999999996</v>
      </c>
      <c r="D33" s="16"/>
      <c r="E33" s="16">
        <v>91.673076279971895</v>
      </c>
      <c r="F33" s="16">
        <v>1364402</v>
      </c>
      <c r="G33" s="16">
        <v>3629.27</v>
      </c>
      <c r="H33" s="16">
        <v>202</v>
      </c>
      <c r="I33" s="17" t="s">
        <v>10</v>
      </c>
    </row>
    <row r="34" spans="1:9" x14ac:dyDescent="0.25">
      <c r="A34" s="12" t="s">
        <v>391</v>
      </c>
      <c r="B34" s="13">
        <v>49.207743000000001</v>
      </c>
      <c r="C34" s="13">
        <v>5.5720000000000001</v>
      </c>
      <c r="D34" s="13"/>
      <c r="E34" s="13">
        <v>97.287897535364294</v>
      </c>
      <c r="F34" s="13">
        <v>1360152</v>
      </c>
      <c r="G34" s="13">
        <v>3715.52</v>
      </c>
      <c r="H34" s="13">
        <v>202</v>
      </c>
      <c r="I34" s="14" t="s">
        <v>10</v>
      </c>
    </row>
    <row r="35" spans="1:9" x14ac:dyDescent="0.25">
      <c r="A35" s="15" t="s">
        <v>392</v>
      </c>
      <c r="B35" s="16">
        <v>49.244</v>
      </c>
      <c r="C35" s="16">
        <v>4.8419999999999996</v>
      </c>
      <c r="D35" s="16"/>
      <c r="E35" s="16">
        <v>94.3617697221014</v>
      </c>
      <c r="F35" s="16">
        <v>961284</v>
      </c>
      <c r="G35" s="16">
        <v>2425.52</v>
      </c>
      <c r="H35" s="16">
        <v>201</v>
      </c>
      <c r="I35" s="17" t="s">
        <v>10</v>
      </c>
    </row>
    <row r="36" spans="1:9" x14ac:dyDescent="0.25">
      <c r="A36" s="12" t="s">
        <v>393</v>
      </c>
      <c r="B36" s="13">
        <v>49.402171000000003</v>
      </c>
      <c r="C36" s="13">
        <v>3.222</v>
      </c>
      <c r="D36" s="13"/>
      <c r="E36" s="13">
        <v>90.204996154232006</v>
      </c>
      <c r="F36" s="13">
        <v>1091126</v>
      </c>
      <c r="G36" s="13">
        <v>2855.36</v>
      </c>
      <c r="H36" s="13">
        <v>202</v>
      </c>
      <c r="I36" s="14" t="s">
        <v>10</v>
      </c>
    </row>
    <row r="37" spans="1:9" x14ac:dyDescent="0.25">
      <c r="A37" s="15"/>
      <c r="B37" s="16"/>
      <c r="C37" s="16"/>
      <c r="D37" s="16"/>
      <c r="E37" s="16"/>
      <c r="F37" s="16"/>
      <c r="G37" s="16"/>
      <c r="H37" s="16"/>
      <c r="I37" s="17"/>
    </row>
    <row r="38" spans="1:9" x14ac:dyDescent="0.25">
      <c r="A38" s="12"/>
      <c r="B38" s="13"/>
      <c r="C38" s="13"/>
      <c r="D38" s="13"/>
      <c r="E38" s="13"/>
      <c r="F38" s="13"/>
      <c r="G38" s="13"/>
      <c r="H38" s="13"/>
      <c r="I38" s="14"/>
    </row>
    <row r="39" spans="1:9" x14ac:dyDescent="0.25">
      <c r="A39" s="15"/>
      <c r="B39" s="16"/>
      <c r="C39" s="16"/>
      <c r="D39" s="16"/>
      <c r="E39" s="16"/>
      <c r="F39" s="16"/>
      <c r="G39" s="16"/>
      <c r="H39" s="16"/>
      <c r="I39" s="17"/>
    </row>
    <row r="40" spans="1:9" x14ac:dyDescent="0.25">
      <c r="A40" s="12"/>
      <c r="B40" s="13"/>
      <c r="C40" s="13"/>
      <c r="D40" s="13"/>
      <c r="E40" s="13"/>
      <c r="F40" s="13"/>
      <c r="G40" s="13"/>
      <c r="H40" s="13"/>
      <c r="I40" s="14"/>
    </row>
    <row r="41" spans="1:9" x14ac:dyDescent="0.25">
      <c r="A41" s="15"/>
      <c r="B41" s="16"/>
      <c r="C41" s="16"/>
      <c r="D41" s="16"/>
      <c r="E41" s="16"/>
      <c r="F41" s="16"/>
      <c r="G41" s="16"/>
      <c r="H41" s="16"/>
      <c r="I41" s="17"/>
    </row>
    <row r="42" spans="1:9" x14ac:dyDescent="0.25">
      <c r="A42" s="12"/>
      <c r="B42" s="13"/>
      <c r="C42" s="13"/>
      <c r="D42" s="13"/>
      <c r="E42" s="13"/>
      <c r="F42" s="13"/>
      <c r="G42" s="13"/>
      <c r="H42" s="13"/>
      <c r="I42" s="14"/>
    </row>
    <row r="43" spans="1:9" x14ac:dyDescent="0.25">
      <c r="A43" s="15"/>
      <c r="B43" s="16"/>
      <c r="C43" s="16"/>
      <c r="D43" s="16"/>
      <c r="E43" s="16"/>
      <c r="F43" s="16"/>
      <c r="G43" s="16"/>
      <c r="H43" s="16"/>
      <c r="I43" s="17"/>
    </row>
    <row r="44" spans="1:9" x14ac:dyDescent="0.25">
      <c r="A44" s="12"/>
      <c r="B44" s="13"/>
      <c r="C44" s="13"/>
      <c r="D44" s="13"/>
      <c r="E44" s="13"/>
      <c r="F44" s="13"/>
      <c r="G44" s="13"/>
      <c r="H44" s="13"/>
      <c r="I44" s="14"/>
    </row>
    <row r="45" spans="1:9" x14ac:dyDescent="0.25">
      <c r="A45" s="15"/>
      <c r="B45" s="16"/>
      <c r="C45" s="16"/>
      <c r="D45" s="16"/>
      <c r="E45" s="16"/>
      <c r="F45" s="16"/>
      <c r="G45" s="16"/>
      <c r="H45" s="16"/>
      <c r="I45" s="17"/>
    </row>
    <row r="46" spans="1:9" x14ac:dyDescent="0.25">
      <c r="A46" s="12"/>
      <c r="B46" s="13"/>
      <c r="C46" s="13"/>
      <c r="D46" s="13"/>
      <c r="E46" s="13"/>
      <c r="F46" s="13"/>
      <c r="G46" s="13"/>
      <c r="H46" s="13"/>
      <c r="I46" s="14"/>
    </row>
    <row r="47" spans="1:9" x14ac:dyDescent="0.25">
      <c r="A47" s="15"/>
      <c r="B47" s="16"/>
      <c r="C47" s="16"/>
      <c r="D47" s="16"/>
      <c r="E47" s="16"/>
      <c r="F47" s="16"/>
      <c r="G47" s="16"/>
      <c r="H47" s="16"/>
      <c r="I47" s="17"/>
    </row>
    <row r="48" spans="1:9" x14ac:dyDescent="0.25">
      <c r="A48" s="12"/>
      <c r="B48" s="13"/>
      <c r="C48" s="13"/>
      <c r="D48" s="13"/>
      <c r="E48" s="13"/>
      <c r="F48" s="13"/>
      <c r="G48" s="13"/>
      <c r="H48" s="13"/>
      <c r="I48" s="14"/>
    </row>
    <row r="49" spans="1:9" x14ac:dyDescent="0.25">
      <c r="A49" s="15"/>
      <c r="B49" s="16"/>
      <c r="C49" s="16"/>
      <c r="D49" s="16"/>
      <c r="E49" s="16"/>
      <c r="F49" s="16"/>
      <c r="G49" s="16"/>
      <c r="H49" s="16"/>
      <c r="I49" s="17"/>
    </row>
    <row r="50" spans="1:9" x14ac:dyDescent="0.25">
      <c r="A50" s="12"/>
      <c r="B50" s="13"/>
      <c r="C50" s="13"/>
      <c r="D50" s="13"/>
      <c r="E50" s="13"/>
      <c r="F50" s="13"/>
      <c r="G50" s="13"/>
      <c r="H50" s="13"/>
      <c r="I50" s="14"/>
    </row>
    <row r="51" spans="1:9" x14ac:dyDescent="0.25">
      <c r="A51" s="15"/>
      <c r="B51" s="16"/>
      <c r="C51" s="16"/>
      <c r="D51" s="16"/>
      <c r="E51" s="16"/>
      <c r="F51" s="16"/>
      <c r="G51" s="16"/>
      <c r="H51" s="16"/>
      <c r="I51" s="17"/>
    </row>
    <row r="52" spans="1:9" x14ac:dyDescent="0.25">
      <c r="A52" s="12"/>
      <c r="B52" s="13"/>
      <c r="C52" s="13"/>
      <c r="D52" s="13"/>
      <c r="E52" s="13"/>
      <c r="F52" s="13"/>
      <c r="G52" s="13"/>
      <c r="H52" s="13"/>
      <c r="I52" s="14"/>
    </row>
    <row r="53" spans="1:9" x14ac:dyDescent="0.25">
      <c r="A53" s="15"/>
      <c r="B53" s="16"/>
      <c r="C53" s="16"/>
      <c r="D53" s="16"/>
      <c r="E53" s="16"/>
      <c r="F53" s="16"/>
      <c r="G53" s="16"/>
      <c r="H53" s="16"/>
      <c r="I53" s="17"/>
    </row>
    <row r="54" spans="1:9" x14ac:dyDescent="0.25">
      <c r="A54" s="12"/>
      <c r="B54" s="13"/>
      <c r="C54" s="13"/>
      <c r="D54" s="13"/>
      <c r="E54" s="13"/>
      <c r="F54" s="13"/>
      <c r="G54" s="13"/>
      <c r="H54" s="13"/>
      <c r="I54" s="14"/>
    </row>
    <row r="55" spans="1:9" x14ac:dyDescent="0.25">
      <c r="A55" s="15"/>
      <c r="B55" s="16"/>
      <c r="C55" s="16"/>
      <c r="D55" s="16"/>
      <c r="E55" s="16"/>
      <c r="F55" s="16"/>
      <c r="G55" s="16"/>
      <c r="H55" s="16"/>
      <c r="I55" s="17"/>
    </row>
    <row r="56" spans="1:9" x14ac:dyDescent="0.25">
      <c r="A56" s="12"/>
      <c r="B56" s="13"/>
      <c r="C56" s="13"/>
      <c r="D56" s="13"/>
      <c r="E56" s="13"/>
      <c r="F56" s="13"/>
      <c r="G56" s="13"/>
      <c r="H56" s="13"/>
      <c r="I56" s="14"/>
    </row>
    <row r="57" spans="1:9" x14ac:dyDescent="0.25">
      <c r="A57" s="15"/>
      <c r="B57" s="16"/>
      <c r="C57" s="16"/>
      <c r="D57" s="16"/>
      <c r="E57" s="16"/>
      <c r="F57" s="16"/>
      <c r="G57" s="16"/>
      <c r="H57" s="16"/>
      <c r="I57" s="17"/>
    </row>
    <row r="58" spans="1:9" x14ac:dyDescent="0.25">
      <c r="A58" s="12"/>
      <c r="B58" s="13"/>
      <c r="C58" s="13"/>
      <c r="D58" s="13"/>
      <c r="E58" s="13"/>
      <c r="F58" s="13"/>
      <c r="G58" s="13"/>
      <c r="H58" s="13"/>
      <c r="I58" s="14"/>
    </row>
    <row r="59" spans="1:9" x14ac:dyDescent="0.25">
      <c r="A59" s="15"/>
      <c r="B59" s="16"/>
      <c r="C59" s="16"/>
      <c r="D59" s="16"/>
      <c r="E59" s="16"/>
      <c r="F59" s="16"/>
      <c r="G59" s="16"/>
      <c r="H59" s="16"/>
      <c r="I59" s="17"/>
    </row>
    <row r="60" spans="1:9" x14ac:dyDescent="0.25">
      <c r="A60" s="12"/>
      <c r="B60" s="13"/>
      <c r="C60" s="13"/>
      <c r="D60" s="13"/>
      <c r="E60" s="13"/>
      <c r="F60" s="13"/>
      <c r="G60" s="13"/>
      <c r="H60" s="13"/>
      <c r="I60" s="14"/>
    </row>
    <row r="61" spans="1:9" x14ac:dyDescent="0.25">
      <c r="A61" s="15"/>
      <c r="B61" s="16"/>
      <c r="C61" s="16"/>
      <c r="D61" s="16"/>
      <c r="E61" s="16"/>
      <c r="F61" s="16"/>
      <c r="G61" s="16"/>
      <c r="H61" s="16"/>
      <c r="I61" s="17"/>
    </row>
    <row r="62" spans="1:9" x14ac:dyDescent="0.25">
      <c r="A62" s="12"/>
      <c r="B62" s="13"/>
      <c r="C62" s="13"/>
      <c r="D62" s="13"/>
      <c r="E62" s="13"/>
      <c r="F62" s="13"/>
      <c r="G62" s="13"/>
      <c r="H62" s="13"/>
      <c r="I62" s="14"/>
    </row>
    <row r="63" spans="1:9" x14ac:dyDescent="0.25">
      <c r="A63" s="12"/>
      <c r="B63" s="13"/>
      <c r="C63" s="13"/>
      <c r="D63" s="13"/>
      <c r="E63" s="13"/>
      <c r="F63" s="13"/>
      <c r="G63" s="13"/>
      <c r="H63" s="13"/>
      <c r="I63" s="14"/>
    </row>
    <row r="64" spans="1:9" x14ac:dyDescent="0.25">
      <c r="A64" s="15"/>
      <c r="B64" s="16"/>
      <c r="C64" s="16"/>
      <c r="D64" s="16"/>
      <c r="E64" s="16"/>
      <c r="F64" s="16"/>
      <c r="G64" s="16"/>
      <c r="H64" s="16"/>
      <c r="I64" s="17"/>
    </row>
    <row r="65" spans="1:9" x14ac:dyDescent="0.25">
      <c r="A65" s="12"/>
      <c r="B65" s="13"/>
      <c r="C65" s="13"/>
      <c r="D65" s="13"/>
      <c r="E65" s="13"/>
      <c r="F65" s="13"/>
      <c r="G65" s="13"/>
      <c r="H65" s="13"/>
      <c r="I65" s="14"/>
    </row>
    <row r="66" spans="1:9" x14ac:dyDescent="0.25">
      <c r="A66" s="15"/>
      <c r="B66" s="16"/>
      <c r="C66" s="16"/>
      <c r="D66" s="16"/>
      <c r="E66" s="16"/>
      <c r="F66" s="16"/>
      <c r="G66" s="16"/>
      <c r="H66" s="16"/>
      <c r="I66" s="17"/>
    </row>
    <row r="67" spans="1:9" x14ac:dyDescent="0.25">
      <c r="A67" s="12"/>
      <c r="B67" s="13"/>
      <c r="C67" s="13"/>
      <c r="D67" s="13"/>
      <c r="E67" s="13"/>
      <c r="F67" s="13"/>
      <c r="G67" s="13"/>
      <c r="H67" s="13"/>
      <c r="I67" s="14"/>
    </row>
    <row r="68" spans="1:9" x14ac:dyDescent="0.25">
      <c r="A68" s="15"/>
      <c r="B68" s="16"/>
      <c r="C68" s="16"/>
      <c r="D68" s="16"/>
      <c r="E68" s="16"/>
      <c r="F68" s="16"/>
      <c r="G68" s="16"/>
      <c r="H68" s="16"/>
      <c r="I68" s="17"/>
    </row>
    <row r="69" spans="1:9" x14ac:dyDescent="0.25">
      <c r="A69" s="12"/>
      <c r="B69" s="13"/>
      <c r="C69" s="13"/>
      <c r="D69" s="13"/>
      <c r="E69" s="13"/>
      <c r="F69" s="13"/>
      <c r="G69" s="13"/>
      <c r="H69" s="13"/>
      <c r="I69" s="14"/>
    </row>
    <row r="70" spans="1:9" x14ac:dyDescent="0.25">
      <c r="A70" s="15"/>
      <c r="B70" s="16"/>
      <c r="C70" s="16"/>
      <c r="D70" s="16"/>
      <c r="E70" s="16"/>
      <c r="F70" s="16"/>
      <c r="G70" s="16"/>
      <c r="H70" s="16"/>
      <c r="I70" s="17"/>
    </row>
    <row r="71" spans="1:9" x14ac:dyDescent="0.25">
      <c r="A71" s="12"/>
      <c r="B71" s="13"/>
      <c r="C71" s="13"/>
      <c r="D71" s="13"/>
      <c r="E71" s="13"/>
      <c r="F71" s="13"/>
      <c r="G71" s="13"/>
      <c r="H71" s="13"/>
      <c r="I71" s="14"/>
    </row>
    <row r="72" spans="1:9" x14ac:dyDescent="0.25">
      <c r="A72" s="15"/>
      <c r="B72" s="16"/>
      <c r="C72" s="16"/>
      <c r="D72" s="16"/>
      <c r="E72" s="16"/>
      <c r="F72" s="16"/>
      <c r="G72" s="16"/>
      <c r="H72" s="16"/>
      <c r="I72" s="17"/>
    </row>
    <row r="73" spans="1:9" x14ac:dyDescent="0.25">
      <c r="A73" s="12"/>
      <c r="B73" s="13"/>
      <c r="C73" s="13"/>
      <c r="D73" s="13"/>
      <c r="E73" s="13"/>
      <c r="F73" s="13"/>
      <c r="G73" s="13"/>
      <c r="H73" s="13"/>
      <c r="I73" s="14"/>
    </row>
    <row r="74" spans="1:9" x14ac:dyDescent="0.25">
      <c r="A74" s="15"/>
      <c r="B74" s="16"/>
      <c r="C74" s="16"/>
      <c r="D74" s="16"/>
      <c r="E74" s="16"/>
      <c r="F74" s="16"/>
      <c r="G74" s="16"/>
      <c r="H74" s="16"/>
      <c r="I74" s="17"/>
    </row>
    <row r="75" spans="1:9" x14ac:dyDescent="0.25">
      <c r="A75" s="18"/>
      <c r="B75" s="19"/>
      <c r="C75" s="19"/>
      <c r="D75" s="19"/>
      <c r="E75" s="19"/>
      <c r="F75" s="19"/>
      <c r="G75" s="19"/>
      <c r="H75" s="19"/>
      <c r="I75" s="20"/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304C-944B-45CE-8AB6-212C36F46F7C}">
  <dimension ref="A1:R108"/>
  <sheetViews>
    <sheetView topLeftCell="A79" workbookViewId="0">
      <selection activeCell="E107" sqref="E107"/>
    </sheetView>
  </sheetViews>
  <sheetFormatPr defaultRowHeight="15" x14ac:dyDescent="0.25"/>
  <cols>
    <col min="1" max="1" width="29" customWidth="1"/>
    <col min="2" max="2" width="25.85546875" customWidth="1"/>
    <col min="3" max="3" width="26.7109375" customWidth="1"/>
    <col min="4" max="4" width="30.7109375" style="3" customWidth="1"/>
    <col min="5" max="5" width="21.5703125" style="3" customWidth="1"/>
    <col min="6" max="6" width="33" customWidth="1"/>
    <col min="7" max="7" width="23.28515625" customWidth="1"/>
    <col min="8" max="8" width="9" customWidth="1"/>
    <col min="17" max="17" width="15.140625" customWidth="1"/>
    <col min="18" max="18" width="16.28515625" customWidth="1"/>
  </cols>
  <sheetData>
    <row r="1" spans="1:18" x14ac:dyDescent="0.25">
      <c r="A1" s="8" t="s">
        <v>1</v>
      </c>
      <c r="B1" s="9" t="s">
        <v>2</v>
      </c>
      <c r="C1" s="9" t="s">
        <v>3</v>
      </c>
      <c r="D1" s="10" t="s">
        <v>4</v>
      </c>
      <c r="E1" s="10" t="s">
        <v>5</v>
      </c>
      <c r="F1" s="9" t="s">
        <v>6</v>
      </c>
      <c r="G1" s="9" t="s">
        <v>7</v>
      </c>
      <c r="H1" s="4" t="s">
        <v>8</v>
      </c>
      <c r="I1" s="11" t="s">
        <v>19</v>
      </c>
      <c r="L1" s="5" t="s">
        <v>13</v>
      </c>
      <c r="M1" s="6" t="s">
        <v>14</v>
      </c>
      <c r="N1" s="6" t="s">
        <v>15</v>
      </c>
      <c r="O1" s="6" t="s">
        <v>16</v>
      </c>
      <c r="P1" s="6" t="s">
        <v>9</v>
      </c>
      <c r="Q1" s="6" t="s">
        <v>17</v>
      </c>
      <c r="R1" s="7" t="s">
        <v>18</v>
      </c>
    </row>
    <row r="2" spans="1:18" x14ac:dyDescent="0.25">
      <c r="A2" t="s">
        <v>394</v>
      </c>
      <c r="B2">
        <v>50.173226999999997</v>
      </c>
      <c r="C2">
        <v>2.831</v>
      </c>
      <c r="E2" s="3">
        <v>80.714309601043297</v>
      </c>
      <c r="F2">
        <v>436458</v>
      </c>
      <c r="G2">
        <v>1060.8599999999999</v>
      </c>
      <c r="H2">
        <v>205</v>
      </c>
      <c r="I2" t="s">
        <v>12</v>
      </c>
      <c r="L2">
        <f>COUNTIF(I2:I193,"A")</f>
        <v>97</v>
      </c>
      <c r="M2">
        <f>COUNTIF(I2:I193,"B")</f>
        <v>6</v>
      </c>
      <c r="N2">
        <f>SUM(L2:M2)</f>
        <v>103</v>
      </c>
      <c r="O2">
        <f>COUNTIF(I1:I193,"C")</f>
        <v>4</v>
      </c>
      <c r="P2">
        <f>(O2/(L2+M2+O2))*100</f>
        <v>3.7383177570093453</v>
      </c>
      <c r="Q2">
        <f>(L2/(L2+M2+O2))*100</f>
        <v>90.654205607476641</v>
      </c>
      <c r="R2">
        <f>(N2/(N2+O2))*100</f>
        <v>96.261682242990659</v>
      </c>
    </row>
    <row r="3" spans="1:18" x14ac:dyDescent="0.25">
      <c r="A3" t="s">
        <v>395</v>
      </c>
      <c r="B3">
        <v>50.451518</v>
      </c>
      <c r="C3">
        <v>7.835</v>
      </c>
      <c r="E3" s="3">
        <v>93.602648563689201</v>
      </c>
      <c r="F3">
        <v>1164144</v>
      </c>
      <c r="G3">
        <v>3033.86</v>
      </c>
      <c r="H3">
        <v>211</v>
      </c>
      <c r="I3" t="s">
        <v>10</v>
      </c>
    </row>
    <row r="4" spans="1:18" x14ac:dyDescent="0.25">
      <c r="A4" t="s">
        <v>396</v>
      </c>
      <c r="B4">
        <v>51.097501000000001</v>
      </c>
      <c r="C4">
        <v>2.7010000000000001</v>
      </c>
      <c r="E4" s="3">
        <v>97.338059726448805</v>
      </c>
      <c r="F4">
        <v>612876</v>
      </c>
      <c r="G4">
        <v>1495.03</v>
      </c>
      <c r="H4">
        <v>207</v>
      </c>
      <c r="I4" t="s">
        <v>10</v>
      </c>
    </row>
    <row r="5" spans="1:18" x14ac:dyDescent="0.25">
      <c r="A5" t="s">
        <v>397</v>
      </c>
      <c r="B5">
        <v>51.636272999999996</v>
      </c>
      <c r="C5">
        <v>7.1120000000000001</v>
      </c>
      <c r="E5" s="3">
        <v>95.829849847841302</v>
      </c>
      <c r="F5">
        <v>1176214</v>
      </c>
      <c r="G5">
        <v>3151.28</v>
      </c>
      <c r="H5">
        <v>204</v>
      </c>
      <c r="I5" t="s">
        <v>10</v>
      </c>
    </row>
    <row r="6" spans="1:18" x14ac:dyDescent="0.25">
      <c r="A6" t="s">
        <v>398</v>
      </c>
      <c r="B6">
        <v>51.656579000000001</v>
      </c>
      <c r="C6">
        <v>4.3949999999999996</v>
      </c>
      <c r="E6" s="3">
        <v>98.050362839848802</v>
      </c>
      <c r="F6">
        <v>1341616</v>
      </c>
      <c r="G6">
        <v>3440.92</v>
      </c>
      <c r="H6">
        <v>205</v>
      </c>
      <c r="I6" t="s">
        <v>10</v>
      </c>
    </row>
    <row r="7" spans="1:18" x14ac:dyDescent="0.25">
      <c r="A7" t="s">
        <v>399</v>
      </c>
      <c r="B7">
        <v>51.817557999999998</v>
      </c>
      <c r="C7">
        <v>10.971</v>
      </c>
      <c r="E7" s="39">
        <v>99.324482493395294</v>
      </c>
      <c r="F7">
        <v>1589832</v>
      </c>
      <c r="G7">
        <v>3944.64</v>
      </c>
      <c r="H7">
        <v>203</v>
      </c>
      <c r="I7" t="s">
        <v>10</v>
      </c>
    </row>
    <row r="8" spans="1:18" x14ac:dyDescent="0.25">
      <c r="A8" t="s">
        <v>400</v>
      </c>
      <c r="B8">
        <v>51.885106</v>
      </c>
      <c r="C8">
        <v>7.4390000000000001</v>
      </c>
      <c r="E8" s="3">
        <v>92.054308932214099</v>
      </c>
      <c r="F8">
        <v>1210600</v>
      </c>
      <c r="G8">
        <v>2820.92</v>
      </c>
      <c r="H8">
        <v>204</v>
      </c>
      <c r="I8" t="s">
        <v>10</v>
      </c>
    </row>
    <row r="9" spans="1:18" x14ac:dyDescent="0.25">
      <c r="A9" t="s">
        <v>401</v>
      </c>
      <c r="B9">
        <v>52.385047</v>
      </c>
      <c r="C9">
        <v>8.6020000000000003</v>
      </c>
      <c r="E9" s="39">
        <v>85.636892619469606</v>
      </c>
      <c r="F9">
        <v>2015344</v>
      </c>
      <c r="G9">
        <v>3499.28</v>
      </c>
      <c r="H9">
        <v>203</v>
      </c>
      <c r="I9" t="s">
        <v>12</v>
      </c>
    </row>
    <row r="10" spans="1:18" x14ac:dyDescent="0.25">
      <c r="A10" t="s">
        <v>402</v>
      </c>
      <c r="B10">
        <v>52.432561999999997</v>
      </c>
      <c r="C10">
        <v>5.2469999999999999</v>
      </c>
      <c r="E10" s="3">
        <v>92.749891315252597</v>
      </c>
      <c r="F10">
        <v>1163382</v>
      </c>
      <c r="G10">
        <v>2993.49</v>
      </c>
      <c r="H10">
        <v>204</v>
      </c>
      <c r="I10" t="s">
        <v>10</v>
      </c>
    </row>
    <row r="11" spans="1:18" x14ac:dyDescent="0.25">
      <c r="A11" t="s">
        <v>403</v>
      </c>
      <c r="B11">
        <v>52.988831999999995</v>
      </c>
      <c r="C11">
        <v>1.5009999999999999</v>
      </c>
      <c r="E11" s="3">
        <v>92.244925258335201</v>
      </c>
      <c r="F11">
        <v>310418</v>
      </c>
      <c r="G11">
        <v>758.17399999999998</v>
      </c>
      <c r="H11">
        <v>207</v>
      </c>
      <c r="I11" t="s">
        <v>10</v>
      </c>
    </row>
    <row r="12" spans="1:18" x14ac:dyDescent="0.25">
      <c r="A12" t="s">
        <v>404</v>
      </c>
      <c r="B12">
        <v>53.232061999999999</v>
      </c>
      <c r="C12">
        <v>3.5089999999999999</v>
      </c>
      <c r="E12" s="3">
        <v>97.210982175701403</v>
      </c>
      <c r="F12">
        <v>1515852</v>
      </c>
      <c r="G12">
        <v>4425.67</v>
      </c>
      <c r="H12">
        <v>208</v>
      </c>
      <c r="I12" t="s">
        <v>10</v>
      </c>
    </row>
    <row r="13" spans="1:18" x14ac:dyDescent="0.25">
      <c r="A13" t="s">
        <v>405</v>
      </c>
      <c r="B13">
        <v>53.522638000000001</v>
      </c>
      <c r="C13">
        <v>7.2220000000000004</v>
      </c>
      <c r="E13" s="3">
        <v>96.465237601578394</v>
      </c>
      <c r="F13">
        <v>817222</v>
      </c>
      <c r="G13">
        <v>2154.4499999999998</v>
      </c>
      <c r="H13">
        <v>204</v>
      </c>
      <c r="I13" t="s">
        <v>10</v>
      </c>
    </row>
    <row r="14" spans="1:18" x14ac:dyDescent="0.25">
      <c r="A14" t="s">
        <v>406</v>
      </c>
      <c r="B14">
        <v>53.927679000000005</v>
      </c>
      <c r="C14">
        <v>5.0869999999999997</v>
      </c>
      <c r="E14" s="3">
        <v>96.488646624084495</v>
      </c>
      <c r="F14">
        <v>1134046</v>
      </c>
      <c r="G14">
        <v>2622.16</v>
      </c>
      <c r="H14">
        <v>206</v>
      </c>
      <c r="I14" t="s">
        <v>10</v>
      </c>
    </row>
    <row r="15" spans="1:18" x14ac:dyDescent="0.25">
      <c r="A15" t="s">
        <v>407</v>
      </c>
      <c r="B15">
        <v>54.084381</v>
      </c>
      <c r="C15">
        <v>4.8460000000000001</v>
      </c>
      <c r="E15" s="3">
        <v>90.4959368625221</v>
      </c>
      <c r="F15">
        <v>831934</v>
      </c>
      <c r="G15">
        <v>1907.34</v>
      </c>
      <c r="H15">
        <v>206</v>
      </c>
      <c r="I15" t="s">
        <v>10</v>
      </c>
    </row>
    <row r="16" spans="1:18" x14ac:dyDescent="0.25">
      <c r="A16" t="s">
        <v>408</v>
      </c>
      <c r="B16">
        <v>54.743675999999994</v>
      </c>
      <c r="C16">
        <v>1.534</v>
      </c>
      <c r="E16" s="3">
        <v>1.3577233053539699</v>
      </c>
      <c r="F16">
        <v>2852232</v>
      </c>
      <c r="G16">
        <v>0.98050400000000004</v>
      </c>
      <c r="H16">
        <v>206</v>
      </c>
      <c r="I16" t="s">
        <v>11</v>
      </c>
    </row>
    <row r="17" spans="1:9" x14ac:dyDescent="0.25">
      <c r="A17" t="s">
        <v>409</v>
      </c>
      <c r="B17">
        <v>54.769507000000004</v>
      </c>
      <c r="C17">
        <v>5.758</v>
      </c>
      <c r="E17" s="3">
        <v>94.311607531016904</v>
      </c>
      <c r="F17">
        <v>786554</v>
      </c>
      <c r="G17">
        <v>1749.47</v>
      </c>
      <c r="H17">
        <v>206</v>
      </c>
      <c r="I17" t="s">
        <v>10</v>
      </c>
    </row>
    <row r="18" spans="1:9" x14ac:dyDescent="0.25">
      <c r="A18" t="s">
        <v>410</v>
      </c>
      <c r="B18">
        <v>54.782428999999993</v>
      </c>
      <c r="C18">
        <v>1.9810000000000001</v>
      </c>
      <c r="E18" s="3" t="s">
        <v>237</v>
      </c>
      <c r="F18" t="s">
        <v>237</v>
      </c>
      <c r="G18" t="s">
        <v>237</v>
      </c>
      <c r="H18">
        <v>211</v>
      </c>
      <c r="I18" t="s">
        <v>11</v>
      </c>
    </row>
    <row r="19" spans="1:9" x14ac:dyDescent="0.25">
      <c r="A19" t="s">
        <v>411</v>
      </c>
      <c r="B19">
        <v>55.256252999999994</v>
      </c>
      <c r="C19">
        <v>2.8919999999999999</v>
      </c>
      <c r="E19" s="3">
        <v>91.442330200983093</v>
      </c>
      <c r="F19">
        <v>2142026</v>
      </c>
      <c r="G19">
        <v>5964.11</v>
      </c>
      <c r="H19">
        <v>209</v>
      </c>
      <c r="I19" t="s">
        <v>10</v>
      </c>
    </row>
    <row r="20" spans="1:9" x14ac:dyDescent="0.25">
      <c r="A20" t="s">
        <v>412</v>
      </c>
      <c r="B20">
        <v>55.421313999999995</v>
      </c>
      <c r="C20">
        <v>6.0179999999999998</v>
      </c>
      <c r="E20" s="3">
        <v>97.237735344279798</v>
      </c>
      <c r="F20">
        <v>609360</v>
      </c>
      <c r="G20">
        <v>1458.38</v>
      </c>
      <c r="H20">
        <v>206</v>
      </c>
      <c r="I20" t="s">
        <v>10</v>
      </c>
    </row>
    <row r="21" spans="1:9" x14ac:dyDescent="0.25">
      <c r="A21" t="s">
        <v>413</v>
      </c>
      <c r="B21">
        <v>55.430037000000006</v>
      </c>
      <c r="C21">
        <v>7.415</v>
      </c>
      <c r="E21" s="39">
        <v>98.575393773200005</v>
      </c>
      <c r="F21">
        <v>1662802</v>
      </c>
      <c r="G21">
        <v>3806.22</v>
      </c>
      <c r="H21">
        <v>203</v>
      </c>
      <c r="I21" t="s">
        <v>10</v>
      </c>
    </row>
    <row r="22" spans="1:9" x14ac:dyDescent="0.25">
      <c r="A22" t="s">
        <v>414</v>
      </c>
      <c r="B22">
        <v>55.638036999999997</v>
      </c>
      <c r="C22">
        <v>3.1419999999999999</v>
      </c>
      <c r="E22" s="3">
        <v>79.366618733906293</v>
      </c>
      <c r="F22">
        <v>1142110</v>
      </c>
      <c r="G22">
        <v>1785.42</v>
      </c>
      <c r="H22">
        <v>224</v>
      </c>
      <c r="I22" t="s">
        <v>12</v>
      </c>
    </row>
    <row r="23" spans="1:9" x14ac:dyDescent="0.25">
      <c r="A23" t="s">
        <v>415</v>
      </c>
      <c r="B23">
        <v>56.713591999999998</v>
      </c>
      <c r="C23">
        <v>6.077</v>
      </c>
      <c r="E23" s="3">
        <v>93.181286158579397</v>
      </c>
      <c r="F23">
        <v>1069424</v>
      </c>
      <c r="G23">
        <v>2159.5</v>
      </c>
      <c r="H23">
        <v>206</v>
      </c>
      <c r="I23" t="s">
        <v>10</v>
      </c>
    </row>
    <row r="24" spans="1:9" x14ac:dyDescent="0.25">
      <c r="A24" t="s">
        <v>416</v>
      </c>
      <c r="B24">
        <v>56.748484000000005</v>
      </c>
      <c r="C24">
        <v>6.1139999999999999</v>
      </c>
      <c r="E24" s="3">
        <v>93.060896899976598</v>
      </c>
      <c r="F24">
        <v>1393014</v>
      </c>
      <c r="G24">
        <v>3142.88</v>
      </c>
      <c r="H24">
        <v>206</v>
      </c>
      <c r="I24" t="s">
        <v>10</v>
      </c>
    </row>
    <row r="25" spans="1:9" x14ac:dyDescent="0.25">
      <c r="A25" t="s">
        <v>417</v>
      </c>
      <c r="B25">
        <v>56.762771000000001</v>
      </c>
      <c r="C25">
        <v>4.2670000000000003</v>
      </c>
      <c r="E25" s="3">
        <v>85.509815068722205</v>
      </c>
      <c r="F25">
        <v>1364260</v>
      </c>
      <c r="G25">
        <v>3495.21</v>
      </c>
      <c r="H25">
        <v>212</v>
      </c>
      <c r="I25" t="s">
        <v>12</v>
      </c>
    </row>
    <row r="26" spans="1:9" x14ac:dyDescent="0.25">
      <c r="A26" t="s">
        <v>418</v>
      </c>
      <c r="B26">
        <v>56.798586</v>
      </c>
      <c r="C26">
        <v>3.9769999999999999</v>
      </c>
      <c r="E26" s="3">
        <v>97.699227502257301</v>
      </c>
      <c r="F26">
        <v>1113408</v>
      </c>
      <c r="G26">
        <v>2794.8</v>
      </c>
      <c r="H26">
        <v>205</v>
      </c>
      <c r="I26" t="s">
        <v>10</v>
      </c>
    </row>
    <row r="27" spans="1:9" x14ac:dyDescent="0.25">
      <c r="A27" t="s">
        <v>419</v>
      </c>
      <c r="B27">
        <v>57.480930000000001</v>
      </c>
      <c r="C27">
        <v>7.9459999999999997</v>
      </c>
      <c r="E27" s="39">
        <v>94.291542654583097</v>
      </c>
      <c r="F27">
        <v>1816892</v>
      </c>
      <c r="G27">
        <v>3952.36</v>
      </c>
      <c r="H27">
        <v>203</v>
      </c>
      <c r="I27" t="s">
        <v>10</v>
      </c>
    </row>
    <row r="28" spans="1:9" x14ac:dyDescent="0.25">
      <c r="A28" t="s">
        <v>420</v>
      </c>
      <c r="B28">
        <v>57.767905000000006</v>
      </c>
      <c r="C28">
        <v>1.3109999999999999</v>
      </c>
      <c r="E28" s="3">
        <v>94.475470688559597</v>
      </c>
      <c r="F28">
        <v>1679616</v>
      </c>
      <c r="G28">
        <v>3435.72</v>
      </c>
      <c r="H28">
        <v>209</v>
      </c>
      <c r="I28" t="s">
        <v>10</v>
      </c>
    </row>
    <row r="29" spans="1:9" x14ac:dyDescent="0.25">
      <c r="A29" t="s">
        <v>421</v>
      </c>
      <c r="B29">
        <v>57.930392000000005</v>
      </c>
      <c r="C29">
        <v>4.9660000000000002</v>
      </c>
      <c r="E29" s="3">
        <v>96.354880781192506</v>
      </c>
      <c r="F29">
        <v>1163756</v>
      </c>
      <c r="G29">
        <v>3032.32</v>
      </c>
      <c r="H29">
        <v>202</v>
      </c>
      <c r="I29" t="s">
        <v>10</v>
      </c>
    </row>
    <row r="30" spans="1:9" x14ac:dyDescent="0.25">
      <c r="A30" t="s">
        <v>422</v>
      </c>
      <c r="B30">
        <v>58.437158000000004</v>
      </c>
      <c r="C30">
        <v>4.819</v>
      </c>
      <c r="E30" s="3">
        <v>98.622211818212193</v>
      </c>
      <c r="F30">
        <v>1160066</v>
      </c>
      <c r="G30">
        <v>3435.63</v>
      </c>
      <c r="H30">
        <v>207</v>
      </c>
      <c r="I30" t="s">
        <v>10</v>
      </c>
    </row>
    <row r="31" spans="1:9" x14ac:dyDescent="0.25">
      <c r="A31" t="s">
        <v>423</v>
      </c>
      <c r="B31">
        <v>58.494591999999997</v>
      </c>
      <c r="C31">
        <v>6.94</v>
      </c>
      <c r="E31" s="3">
        <v>98.662341571079807</v>
      </c>
      <c r="F31">
        <v>1312172</v>
      </c>
      <c r="G31">
        <v>3201.61</v>
      </c>
      <c r="H31">
        <v>206</v>
      </c>
      <c r="I31" t="s">
        <v>10</v>
      </c>
    </row>
    <row r="32" spans="1:9" x14ac:dyDescent="0.25">
      <c r="A32" t="s">
        <v>424</v>
      </c>
      <c r="B32">
        <v>58.522203999999995</v>
      </c>
      <c r="C32">
        <v>7.032</v>
      </c>
      <c r="E32" s="3">
        <v>96.267932983312704</v>
      </c>
      <c r="F32">
        <v>1178878</v>
      </c>
      <c r="G32">
        <v>2860.03</v>
      </c>
      <c r="H32">
        <v>204</v>
      </c>
      <c r="I32" t="s">
        <v>10</v>
      </c>
    </row>
    <row r="33" spans="1:9" x14ac:dyDescent="0.25">
      <c r="A33" t="s">
        <v>425</v>
      </c>
      <c r="B33">
        <v>59.162246000000003</v>
      </c>
      <c r="C33">
        <v>3.8889999999999998</v>
      </c>
      <c r="E33" s="3">
        <v>89.987626659532495</v>
      </c>
      <c r="F33">
        <v>1191208</v>
      </c>
      <c r="G33">
        <v>3137.25</v>
      </c>
      <c r="H33">
        <v>202</v>
      </c>
      <c r="I33" t="s">
        <v>12</v>
      </c>
    </row>
    <row r="34" spans="1:9" x14ac:dyDescent="0.25">
      <c r="A34" t="s">
        <v>426</v>
      </c>
      <c r="B34">
        <v>59.271861999999999</v>
      </c>
      <c r="C34">
        <v>4.2439999999999998</v>
      </c>
      <c r="E34" s="3">
        <v>97.909908704812196</v>
      </c>
      <c r="F34">
        <v>1386776</v>
      </c>
      <c r="G34">
        <v>3859.41</v>
      </c>
      <c r="H34">
        <v>202</v>
      </c>
      <c r="I34" t="s">
        <v>10</v>
      </c>
    </row>
    <row r="35" spans="1:9" x14ac:dyDescent="0.25">
      <c r="A35" t="s">
        <v>427</v>
      </c>
      <c r="B35">
        <v>59.692230000000002</v>
      </c>
      <c r="C35">
        <v>2.4660000000000002</v>
      </c>
      <c r="E35" s="3">
        <v>94.090893890245098</v>
      </c>
      <c r="F35">
        <v>1475194</v>
      </c>
      <c r="G35">
        <v>4234.1400000000003</v>
      </c>
      <c r="H35">
        <v>208</v>
      </c>
      <c r="I35" t="s">
        <v>10</v>
      </c>
    </row>
    <row r="36" spans="1:9" x14ac:dyDescent="0.25">
      <c r="A36" t="s">
        <v>428</v>
      </c>
      <c r="B36">
        <v>59.847410999999994</v>
      </c>
      <c r="C36">
        <v>1.385</v>
      </c>
      <c r="E36" s="3" t="s">
        <v>237</v>
      </c>
      <c r="F36" t="s">
        <v>237</v>
      </c>
      <c r="G36" t="s">
        <v>237</v>
      </c>
      <c r="H36">
        <v>206</v>
      </c>
      <c r="I36" t="s">
        <v>11</v>
      </c>
    </row>
    <row r="37" spans="1:9" x14ac:dyDescent="0.25">
      <c r="A37" t="s">
        <v>429</v>
      </c>
      <c r="B37">
        <v>60.337004000000007</v>
      </c>
      <c r="C37">
        <v>1.202</v>
      </c>
      <c r="E37" s="3">
        <v>95.134267464802804</v>
      </c>
      <c r="F37">
        <v>540734</v>
      </c>
      <c r="G37">
        <v>1115.04</v>
      </c>
      <c r="H37">
        <v>209</v>
      </c>
      <c r="I37" t="s">
        <v>10</v>
      </c>
    </row>
    <row r="38" spans="1:9" x14ac:dyDescent="0.25">
      <c r="A38" t="s">
        <v>430</v>
      </c>
      <c r="B38">
        <v>60.445827000000001</v>
      </c>
      <c r="C38">
        <v>3.601</v>
      </c>
      <c r="E38" s="3">
        <v>97.645721165100497</v>
      </c>
      <c r="F38">
        <v>963096</v>
      </c>
      <c r="G38">
        <v>2490.27</v>
      </c>
      <c r="H38">
        <v>205</v>
      </c>
      <c r="I38" t="s">
        <v>10</v>
      </c>
    </row>
    <row r="39" spans="1:9" x14ac:dyDescent="0.25">
      <c r="A39" t="s">
        <v>431</v>
      </c>
      <c r="B39">
        <v>60.718372000000002</v>
      </c>
      <c r="C39">
        <v>5.165</v>
      </c>
      <c r="E39" s="3">
        <v>96.003745443600906</v>
      </c>
      <c r="F39">
        <v>879544</v>
      </c>
      <c r="G39">
        <v>1851.67</v>
      </c>
      <c r="H39">
        <v>206</v>
      </c>
      <c r="I39" t="s">
        <v>10</v>
      </c>
    </row>
    <row r="40" spans="1:9" x14ac:dyDescent="0.25">
      <c r="A40" t="s">
        <v>432</v>
      </c>
      <c r="B40">
        <v>62.294440000000002</v>
      </c>
      <c r="C40">
        <v>5.8449999999999998</v>
      </c>
      <c r="E40" s="3">
        <v>96.956827074206601</v>
      </c>
      <c r="F40">
        <v>1304186</v>
      </c>
      <c r="G40">
        <v>3083.6</v>
      </c>
      <c r="H40">
        <v>206</v>
      </c>
      <c r="I40" t="s">
        <v>10</v>
      </c>
    </row>
    <row r="41" spans="1:9" x14ac:dyDescent="0.25">
      <c r="A41" t="s">
        <v>433</v>
      </c>
      <c r="B41">
        <v>62.436972000000004</v>
      </c>
      <c r="C41">
        <v>11.891999999999999</v>
      </c>
      <c r="E41" s="3">
        <v>97.3246831421596</v>
      </c>
      <c r="F41">
        <v>1179702</v>
      </c>
      <c r="G41">
        <v>3157.69</v>
      </c>
      <c r="H41">
        <v>207</v>
      </c>
      <c r="I41" t="s">
        <v>10</v>
      </c>
    </row>
    <row r="42" spans="1:9" x14ac:dyDescent="0.25">
      <c r="A42" t="s">
        <v>434</v>
      </c>
      <c r="B42">
        <v>62.557911000000004</v>
      </c>
      <c r="C42">
        <v>5.1909999999999998</v>
      </c>
      <c r="E42" s="3">
        <v>92.254957696552097</v>
      </c>
      <c r="F42">
        <v>1236916</v>
      </c>
      <c r="G42">
        <v>3285.27</v>
      </c>
      <c r="H42">
        <v>202</v>
      </c>
      <c r="I42" t="s">
        <v>10</v>
      </c>
    </row>
    <row r="43" spans="1:9" x14ac:dyDescent="0.25">
      <c r="A43" t="s">
        <v>435</v>
      </c>
      <c r="B43">
        <v>62.598354</v>
      </c>
      <c r="C43">
        <v>6.44</v>
      </c>
      <c r="E43" s="3">
        <v>90.124736648496807</v>
      </c>
      <c r="F43">
        <v>1213508</v>
      </c>
      <c r="G43">
        <v>2328.25</v>
      </c>
      <c r="H43">
        <v>203</v>
      </c>
      <c r="I43" t="s">
        <v>10</v>
      </c>
    </row>
    <row r="44" spans="1:9" x14ac:dyDescent="0.25">
      <c r="A44" t="s">
        <v>436</v>
      </c>
      <c r="B44">
        <v>62.879024000000001</v>
      </c>
      <c r="C44">
        <v>5.5780000000000003</v>
      </c>
      <c r="E44" s="3">
        <v>96.328127612614097</v>
      </c>
      <c r="F44">
        <v>910234</v>
      </c>
      <c r="G44">
        <v>2163.19</v>
      </c>
      <c r="H44">
        <v>205</v>
      </c>
      <c r="I44" t="s">
        <v>10</v>
      </c>
    </row>
    <row r="45" spans="1:9" x14ac:dyDescent="0.25">
      <c r="A45" t="s">
        <v>437</v>
      </c>
      <c r="B45">
        <v>63.342474000000003</v>
      </c>
      <c r="C45">
        <v>3.7719999999999998</v>
      </c>
      <c r="E45" s="3">
        <v>93.793264889810303</v>
      </c>
      <c r="F45">
        <v>821712</v>
      </c>
      <c r="G45">
        <v>1974.75</v>
      </c>
      <c r="H45">
        <v>205</v>
      </c>
      <c r="I45" t="s">
        <v>10</v>
      </c>
    </row>
    <row r="46" spans="1:9" x14ac:dyDescent="0.25">
      <c r="A46" t="s">
        <v>438</v>
      </c>
      <c r="B46">
        <v>64.015873999999997</v>
      </c>
      <c r="C46">
        <v>8.8559999999999999</v>
      </c>
      <c r="E46" s="3">
        <v>97.829649199076997</v>
      </c>
      <c r="F46">
        <v>1595312</v>
      </c>
      <c r="G46">
        <v>4558.8599999999997</v>
      </c>
      <c r="H46">
        <v>207</v>
      </c>
      <c r="I46" t="s">
        <v>10</v>
      </c>
    </row>
    <row r="47" spans="1:9" x14ac:dyDescent="0.25">
      <c r="A47" t="s">
        <v>439</v>
      </c>
      <c r="B47">
        <v>64.086334000000008</v>
      </c>
      <c r="C47">
        <v>4.226</v>
      </c>
      <c r="E47" s="3">
        <v>94.826606026151197</v>
      </c>
      <c r="F47">
        <v>832966</v>
      </c>
      <c r="G47">
        <v>2149.4</v>
      </c>
      <c r="H47">
        <v>205</v>
      </c>
      <c r="I47" t="s">
        <v>10</v>
      </c>
    </row>
    <row r="48" spans="1:9" x14ac:dyDescent="0.25">
      <c r="A48" t="s">
        <v>440</v>
      </c>
      <c r="B48">
        <v>64.155000000000001</v>
      </c>
      <c r="C48">
        <v>4.1859999999999999</v>
      </c>
      <c r="E48" s="3">
        <v>94.595859947162495</v>
      </c>
      <c r="F48">
        <v>1001682</v>
      </c>
      <c r="G48">
        <v>2595.61</v>
      </c>
      <c r="H48">
        <v>200</v>
      </c>
      <c r="I48" t="s">
        <v>10</v>
      </c>
    </row>
    <row r="49" spans="1:9" x14ac:dyDescent="0.25">
      <c r="A49" t="s">
        <v>441</v>
      </c>
      <c r="B49">
        <v>64.699635000000001</v>
      </c>
      <c r="C49">
        <v>6.67</v>
      </c>
      <c r="E49" s="3">
        <v>91.823562853225397</v>
      </c>
      <c r="F49">
        <v>1146338</v>
      </c>
      <c r="G49">
        <v>2439.7199999999998</v>
      </c>
      <c r="H49">
        <v>206</v>
      </c>
      <c r="I49" t="s">
        <v>10</v>
      </c>
    </row>
    <row r="50" spans="1:9" x14ac:dyDescent="0.25">
      <c r="A50" t="s">
        <v>442</v>
      </c>
      <c r="B50">
        <v>64.786214999999999</v>
      </c>
      <c r="C50">
        <v>4.6269999999999998</v>
      </c>
      <c r="E50" s="3">
        <v>97.679162625823494</v>
      </c>
      <c r="F50">
        <v>983748</v>
      </c>
      <c r="G50">
        <v>2426.15</v>
      </c>
      <c r="H50">
        <v>206</v>
      </c>
      <c r="I50" t="s">
        <v>10</v>
      </c>
    </row>
    <row r="51" spans="1:9" x14ac:dyDescent="0.25">
      <c r="A51" t="s">
        <v>443</v>
      </c>
      <c r="B51">
        <v>64.975482</v>
      </c>
      <c r="C51">
        <v>7.109</v>
      </c>
      <c r="E51" s="39">
        <v>97.391566063605595</v>
      </c>
      <c r="F51">
        <v>1931084</v>
      </c>
      <c r="G51">
        <v>4598.26</v>
      </c>
      <c r="H51">
        <v>203</v>
      </c>
      <c r="I51" t="s">
        <v>10</v>
      </c>
    </row>
    <row r="52" spans="1:9" x14ac:dyDescent="0.25">
      <c r="A52" t="s">
        <v>444</v>
      </c>
      <c r="B52">
        <v>65.376999999999995</v>
      </c>
      <c r="C52">
        <v>5.923</v>
      </c>
      <c r="E52" s="3">
        <v>94.452061666053496</v>
      </c>
      <c r="F52">
        <v>1327222</v>
      </c>
      <c r="G52">
        <v>3225.41</v>
      </c>
      <c r="H52">
        <v>201</v>
      </c>
      <c r="I52" t="s">
        <v>10</v>
      </c>
    </row>
    <row r="53" spans="1:9" x14ac:dyDescent="0.25">
      <c r="A53" t="s">
        <v>445</v>
      </c>
      <c r="B53">
        <v>65.469729000000001</v>
      </c>
      <c r="C53">
        <v>2.306</v>
      </c>
      <c r="E53" s="3">
        <v>93.940407316991596</v>
      </c>
      <c r="F53">
        <v>405208</v>
      </c>
      <c r="G53">
        <v>1083.43</v>
      </c>
      <c r="H53">
        <v>209</v>
      </c>
      <c r="I53" t="s">
        <v>10</v>
      </c>
    </row>
    <row r="54" spans="1:9" x14ac:dyDescent="0.25">
      <c r="A54" t="s">
        <v>446</v>
      </c>
      <c r="B54">
        <v>65.508443</v>
      </c>
      <c r="C54">
        <v>2.1360000000000001</v>
      </c>
      <c r="E54" s="3">
        <v>98.023609671270407</v>
      </c>
      <c r="F54">
        <v>1436722</v>
      </c>
      <c r="G54">
        <v>3692.61</v>
      </c>
      <c r="H54">
        <v>209</v>
      </c>
      <c r="I54" t="s">
        <v>10</v>
      </c>
    </row>
    <row r="55" spans="1:9" x14ac:dyDescent="0.25">
      <c r="A55" t="s">
        <v>447</v>
      </c>
      <c r="B55">
        <v>65.591174999999993</v>
      </c>
      <c r="C55">
        <v>7.0780000000000003</v>
      </c>
      <c r="E55" s="3">
        <v>95.692739858877005</v>
      </c>
      <c r="F55">
        <v>920584</v>
      </c>
      <c r="G55">
        <v>2146.44</v>
      </c>
      <c r="H55">
        <v>205</v>
      </c>
      <c r="I55" t="s">
        <v>10</v>
      </c>
    </row>
    <row r="56" spans="1:9" x14ac:dyDescent="0.25">
      <c r="A56" t="s">
        <v>448</v>
      </c>
      <c r="B56">
        <v>65.674127999999996</v>
      </c>
      <c r="C56">
        <v>2.9</v>
      </c>
      <c r="E56" s="3">
        <v>98.692438885730496</v>
      </c>
      <c r="F56">
        <v>1880642</v>
      </c>
      <c r="G56">
        <v>4638.7299999999996</v>
      </c>
      <c r="H56">
        <v>222</v>
      </c>
      <c r="I56" t="s">
        <v>10</v>
      </c>
    </row>
    <row r="57" spans="1:9" x14ac:dyDescent="0.25">
      <c r="A57" t="s">
        <v>449</v>
      </c>
      <c r="B57">
        <v>66.856374000000002</v>
      </c>
      <c r="C57">
        <v>1.966</v>
      </c>
      <c r="E57" s="3">
        <v>95.906765207504193</v>
      </c>
      <c r="F57">
        <v>806466</v>
      </c>
      <c r="G57">
        <v>1056.3800000000001</v>
      </c>
      <c r="H57">
        <v>209</v>
      </c>
      <c r="I57" t="s">
        <v>10</v>
      </c>
    </row>
    <row r="58" spans="1:9" x14ac:dyDescent="0.25">
      <c r="A58" t="s">
        <v>450</v>
      </c>
      <c r="B58">
        <v>67.230370999999991</v>
      </c>
      <c r="C58">
        <v>2.13</v>
      </c>
      <c r="E58" s="3">
        <v>97.184229007122994</v>
      </c>
      <c r="F58">
        <v>185028</v>
      </c>
      <c r="G58">
        <v>492.12700000000001</v>
      </c>
      <c r="H58">
        <v>206</v>
      </c>
      <c r="I58" t="s">
        <v>10</v>
      </c>
    </row>
    <row r="59" spans="1:9" x14ac:dyDescent="0.25">
      <c r="A59" t="s">
        <v>451</v>
      </c>
      <c r="B59">
        <v>67.274999999999991</v>
      </c>
      <c r="C59">
        <v>4.4340000000000002</v>
      </c>
      <c r="E59" s="3">
        <v>96.609035882687294</v>
      </c>
      <c r="F59">
        <v>971774</v>
      </c>
      <c r="G59">
        <v>2360.9</v>
      </c>
      <c r="H59">
        <v>200</v>
      </c>
      <c r="I59" t="s">
        <v>10</v>
      </c>
    </row>
    <row r="60" spans="1:9" x14ac:dyDescent="0.25">
      <c r="A60" t="s">
        <v>452</v>
      </c>
      <c r="B60">
        <v>67.346928999999989</v>
      </c>
      <c r="C60">
        <v>6.9390000000000001</v>
      </c>
      <c r="E60" s="3">
        <v>97.435039962545503</v>
      </c>
      <c r="F60">
        <v>1305768</v>
      </c>
      <c r="G60">
        <v>3522.14</v>
      </c>
      <c r="H60">
        <v>204</v>
      </c>
      <c r="I60" t="s">
        <v>10</v>
      </c>
    </row>
    <row r="61" spans="1:9" x14ac:dyDescent="0.25">
      <c r="A61" t="s">
        <v>453</v>
      </c>
      <c r="B61">
        <v>67.366</v>
      </c>
      <c r="C61">
        <v>5.2649999999999997</v>
      </c>
      <c r="E61" s="3">
        <v>93.522389057954001</v>
      </c>
      <c r="F61">
        <v>836866</v>
      </c>
      <c r="G61">
        <v>2011.81</v>
      </c>
      <c r="H61">
        <v>200</v>
      </c>
      <c r="I61" t="s">
        <v>10</v>
      </c>
    </row>
    <row r="62" spans="1:9" x14ac:dyDescent="0.25">
      <c r="A62" t="s">
        <v>454</v>
      </c>
      <c r="B62">
        <v>67.370823000000001</v>
      </c>
      <c r="C62">
        <v>1.609</v>
      </c>
      <c r="E62" s="3">
        <v>98.8262047286225</v>
      </c>
      <c r="F62">
        <v>1270060</v>
      </c>
      <c r="G62">
        <v>3630.79</v>
      </c>
      <c r="H62">
        <v>208</v>
      </c>
      <c r="I62" t="s">
        <v>10</v>
      </c>
    </row>
    <row r="63" spans="1:9" x14ac:dyDescent="0.25">
      <c r="A63" t="s">
        <v>455</v>
      </c>
      <c r="B63">
        <v>68.475380999999999</v>
      </c>
      <c r="C63">
        <v>8.7810000000000006</v>
      </c>
      <c r="E63" s="3">
        <v>97.465137277196206</v>
      </c>
      <c r="F63">
        <v>1625448</v>
      </c>
      <c r="G63">
        <v>3639.52</v>
      </c>
      <c r="H63">
        <v>206</v>
      </c>
      <c r="I63" t="s">
        <v>10</v>
      </c>
    </row>
    <row r="64" spans="1:9" x14ac:dyDescent="0.25">
      <c r="A64" t="s">
        <v>456</v>
      </c>
      <c r="B64">
        <v>68.876339999999999</v>
      </c>
      <c r="C64">
        <v>3.843</v>
      </c>
      <c r="E64" s="3">
        <v>96.833093669531394</v>
      </c>
      <c r="F64">
        <v>1300254</v>
      </c>
      <c r="G64">
        <v>3290.86</v>
      </c>
      <c r="H64">
        <v>205</v>
      </c>
      <c r="I64" t="s">
        <v>10</v>
      </c>
    </row>
    <row r="65" spans="1:9" x14ac:dyDescent="0.25">
      <c r="A65" t="s">
        <v>457</v>
      </c>
      <c r="B65">
        <v>69.265443000000005</v>
      </c>
      <c r="C65">
        <v>3.137</v>
      </c>
      <c r="E65" s="3">
        <v>94.508912149282594</v>
      </c>
      <c r="F65">
        <v>2098238</v>
      </c>
      <c r="G65">
        <v>5367.96</v>
      </c>
      <c r="H65">
        <v>224</v>
      </c>
      <c r="I65" t="s">
        <v>10</v>
      </c>
    </row>
    <row r="66" spans="1:9" x14ac:dyDescent="0.25">
      <c r="A66" t="s">
        <v>458</v>
      </c>
      <c r="B66">
        <v>70.758025000000004</v>
      </c>
      <c r="C66">
        <v>11.449</v>
      </c>
      <c r="E66" s="39">
        <v>98.154031368090102</v>
      </c>
      <c r="F66">
        <v>1617870</v>
      </c>
      <c r="G66">
        <v>3632.67</v>
      </c>
      <c r="H66">
        <v>203</v>
      </c>
      <c r="I66" t="s">
        <v>10</v>
      </c>
    </row>
    <row r="67" spans="1:9" x14ac:dyDescent="0.25">
      <c r="A67" t="s">
        <v>459</v>
      </c>
      <c r="B67">
        <v>70.984953000000004</v>
      </c>
      <c r="C67">
        <v>6.3819999999999997</v>
      </c>
      <c r="E67" s="3">
        <v>94.569106778584</v>
      </c>
      <c r="F67">
        <v>1132658</v>
      </c>
      <c r="G67">
        <v>2985.58</v>
      </c>
      <c r="H67">
        <v>204</v>
      </c>
      <c r="I67" t="s">
        <v>10</v>
      </c>
    </row>
    <row r="68" spans="1:9" x14ac:dyDescent="0.25">
      <c r="A68" t="s">
        <v>460</v>
      </c>
      <c r="B68">
        <v>71.064851000000004</v>
      </c>
      <c r="C68">
        <v>4.9219999999999997</v>
      </c>
      <c r="E68" s="3">
        <v>98.588770357489196</v>
      </c>
      <c r="F68">
        <v>1266388</v>
      </c>
      <c r="G68">
        <v>3296.21</v>
      </c>
      <c r="H68">
        <v>206</v>
      </c>
      <c r="I68" t="s">
        <v>10</v>
      </c>
    </row>
    <row r="69" spans="1:9" x14ac:dyDescent="0.25">
      <c r="A69" t="s">
        <v>461</v>
      </c>
      <c r="B69">
        <v>71.575243999999998</v>
      </c>
      <c r="C69">
        <v>5.3280000000000003</v>
      </c>
      <c r="E69" s="3">
        <v>96.508711500518302</v>
      </c>
      <c r="F69">
        <v>1127614</v>
      </c>
      <c r="G69">
        <v>2871.44</v>
      </c>
      <c r="H69">
        <v>205</v>
      </c>
      <c r="I69" t="s">
        <v>10</v>
      </c>
    </row>
    <row r="70" spans="1:9" x14ac:dyDescent="0.25">
      <c r="A70" t="s">
        <v>462</v>
      </c>
      <c r="B70">
        <v>71.590999999999994</v>
      </c>
      <c r="C70">
        <v>5.5679999999999996</v>
      </c>
      <c r="E70" s="3">
        <v>98.448316222452505</v>
      </c>
      <c r="F70">
        <v>917604</v>
      </c>
      <c r="G70">
        <v>2318.4</v>
      </c>
      <c r="H70">
        <v>201</v>
      </c>
      <c r="I70" t="s">
        <v>10</v>
      </c>
    </row>
    <row r="71" spans="1:9" x14ac:dyDescent="0.25">
      <c r="A71" t="s">
        <v>463</v>
      </c>
      <c r="B71">
        <v>71.614672999999996</v>
      </c>
      <c r="C71">
        <v>6.3869999999999996</v>
      </c>
      <c r="E71" s="3">
        <v>96.7494900177239</v>
      </c>
      <c r="F71">
        <v>965234</v>
      </c>
      <c r="G71">
        <v>2025.42</v>
      </c>
      <c r="H71">
        <v>206</v>
      </c>
      <c r="I71" t="s">
        <v>10</v>
      </c>
    </row>
    <row r="72" spans="1:9" x14ac:dyDescent="0.25">
      <c r="A72" t="s">
        <v>464</v>
      </c>
      <c r="B72">
        <v>72.412638999999999</v>
      </c>
      <c r="C72">
        <v>7.34</v>
      </c>
      <c r="E72" s="3">
        <v>97.124034377821602</v>
      </c>
      <c r="F72">
        <v>1240690</v>
      </c>
      <c r="G72">
        <v>2892.78</v>
      </c>
      <c r="H72">
        <v>207</v>
      </c>
      <c r="I72" t="s">
        <v>10</v>
      </c>
    </row>
    <row r="73" spans="1:9" x14ac:dyDescent="0.25">
      <c r="A73" t="s">
        <v>465</v>
      </c>
      <c r="B73">
        <v>72.415498999999997</v>
      </c>
      <c r="C73">
        <v>6.976</v>
      </c>
      <c r="E73" s="3">
        <v>89.114804534661999</v>
      </c>
      <c r="F73">
        <v>912298</v>
      </c>
      <c r="G73">
        <v>2236.2800000000002</v>
      </c>
      <c r="H73">
        <v>204</v>
      </c>
      <c r="I73" t="s">
        <v>12</v>
      </c>
    </row>
    <row r="74" spans="1:9" x14ac:dyDescent="0.25">
      <c r="A74" t="s">
        <v>466</v>
      </c>
      <c r="B74">
        <v>72.911787000000004</v>
      </c>
      <c r="C74">
        <v>4.78</v>
      </c>
      <c r="E74" s="3">
        <v>92.341905494431998</v>
      </c>
      <c r="F74">
        <v>1201022</v>
      </c>
      <c r="G74">
        <v>3197.73</v>
      </c>
      <c r="H74">
        <v>202</v>
      </c>
      <c r="I74" t="s">
        <v>10</v>
      </c>
    </row>
    <row r="75" spans="1:9" x14ac:dyDescent="0.25">
      <c r="A75" t="s">
        <v>467</v>
      </c>
      <c r="B75">
        <v>74.726899000000003</v>
      </c>
      <c r="C75">
        <v>4.6619999999999999</v>
      </c>
      <c r="E75" s="3">
        <v>96.910009029194399</v>
      </c>
      <c r="F75">
        <v>2021594</v>
      </c>
      <c r="G75">
        <v>5213.78</v>
      </c>
      <c r="H75">
        <v>209</v>
      </c>
      <c r="I75" t="s">
        <v>10</v>
      </c>
    </row>
    <row r="76" spans="1:9" x14ac:dyDescent="0.25">
      <c r="A76" t="s">
        <v>468</v>
      </c>
      <c r="B76">
        <v>75.179000000000002</v>
      </c>
      <c r="C76">
        <v>4.915</v>
      </c>
      <c r="E76" s="3">
        <v>97.043774872086402</v>
      </c>
      <c r="F76">
        <v>1778764</v>
      </c>
      <c r="G76">
        <v>4911.7299999999996</v>
      </c>
      <c r="H76">
        <v>200</v>
      </c>
      <c r="I76" t="s">
        <v>10</v>
      </c>
    </row>
    <row r="77" spans="1:9" x14ac:dyDescent="0.25">
      <c r="A77" t="s">
        <v>469</v>
      </c>
      <c r="B77">
        <v>75.321466999999998</v>
      </c>
      <c r="C77">
        <v>3.0880000000000001</v>
      </c>
      <c r="E77" s="3">
        <v>96.762866602013105</v>
      </c>
      <c r="F77">
        <v>994248</v>
      </c>
      <c r="G77">
        <v>2871.12</v>
      </c>
      <c r="H77">
        <v>208</v>
      </c>
      <c r="I77" t="s">
        <v>10</v>
      </c>
    </row>
    <row r="78" spans="1:9" x14ac:dyDescent="0.25">
      <c r="A78" t="s">
        <v>470</v>
      </c>
      <c r="B78">
        <v>75.34221500000001</v>
      </c>
      <c r="C78">
        <v>2.4740000000000002</v>
      </c>
      <c r="E78" s="3">
        <v>98.200849413102304</v>
      </c>
      <c r="F78">
        <v>1679544</v>
      </c>
      <c r="G78">
        <v>4931.17</v>
      </c>
      <c r="H78">
        <v>208</v>
      </c>
      <c r="I78" t="s">
        <v>10</v>
      </c>
    </row>
    <row r="79" spans="1:9" x14ac:dyDescent="0.25">
      <c r="A79" t="s">
        <v>471</v>
      </c>
      <c r="B79">
        <v>75.954411000000007</v>
      </c>
      <c r="C79">
        <v>4.3479999999999999</v>
      </c>
      <c r="E79" s="3">
        <v>97.234391198207504</v>
      </c>
      <c r="F79">
        <v>1195606</v>
      </c>
      <c r="G79">
        <v>2945.13</v>
      </c>
      <c r="H79">
        <v>205</v>
      </c>
      <c r="I79" t="s">
        <v>10</v>
      </c>
    </row>
    <row r="80" spans="1:9" x14ac:dyDescent="0.25">
      <c r="A80" t="s">
        <v>472</v>
      </c>
      <c r="B80">
        <v>76.206233999999995</v>
      </c>
      <c r="C80">
        <v>1.708</v>
      </c>
      <c r="E80" s="3">
        <v>97.956726749824398</v>
      </c>
      <c r="F80">
        <v>1566252</v>
      </c>
      <c r="G80">
        <v>4659.71</v>
      </c>
      <c r="H80">
        <v>209</v>
      </c>
      <c r="I80" t="s">
        <v>10</v>
      </c>
    </row>
    <row r="81" spans="1:9" x14ac:dyDescent="0.25">
      <c r="A81" t="s">
        <v>473</v>
      </c>
      <c r="B81">
        <v>76.777844000000002</v>
      </c>
      <c r="C81">
        <v>4.7770000000000001</v>
      </c>
      <c r="E81" s="3">
        <v>91.612881650670502</v>
      </c>
      <c r="F81">
        <v>1694124</v>
      </c>
      <c r="G81">
        <v>4040.61</v>
      </c>
      <c r="H81">
        <v>213</v>
      </c>
      <c r="I81" t="s">
        <v>10</v>
      </c>
    </row>
    <row r="82" spans="1:9" x14ac:dyDescent="0.25">
      <c r="A82" t="s">
        <v>474</v>
      </c>
      <c r="B82">
        <v>76.88397599999999</v>
      </c>
      <c r="C82">
        <v>2.4630000000000001</v>
      </c>
      <c r="E82" s="3">
        <v>96.361569073337094</v>
      </c>
      <c r="F82">
        <v>2078208</v>
      </c>
      <c r="G82">
        <v>5429.8</v>
      </c>
      <c r="H82">
        <v>221</v>
      </c>
      <c r="I82" t="s">
        <v>10</v>
      </c>
    </row>
    <row r="83" spans="1:9" x14ac:dyDescent="0.25">
      <c r="A83" t="s">
        <v>475</v>
      </c>
      <c r="B83">
        <v>77.073177999999999</v>
      </c>
      <c r="C83">
        <v>2.08</v>
      </c>
      <c r="E83" s="3">
        <v>98.695783031802804</v>
      </c>
      <c r="F83">
        <v>1987140</v>
      </c>
      <c r="G83">
        <v>5876.48</v>
      </c>
      <c r="H83">
        <v>208</v>
      </c>
      <c r="I83" t="s">
        <v>10</v>
      </c>
    </row>
    <row r="84" spans="1:9" x14ac:dyDescent="0.25">
      <c r="A84" t="s">
        <v>476</v>
      </c>
      <c r="B84">
        <v>79.134249999999994</v>
      </c>
      <c r="C84">
        <v>0.83899999999999997</v>
      </c>
      <c r="E84" s="3">
        <v>97.929973581246003</v>
      </c>
      <c r="F84">
        <v>602906</v>
      </c>
      <c r="G84">
        <v>1628.65</v>
      </c>
      <c r="H84">
        <v>207</v>
      </c>
      <c r="I84" t="s">
        <v>10</v>
      </c>
    </row>
    <row r="85" spans="1:9" x14ac:dyDescent="0.25">
      <c r="A85" t="s">
        <v>477</v>
      </c>
      <c r="B85">
        <v>79.146704</v>
      </c>
      <c r="C85">
        <v>5.2119999999999997</v>
      </c>
      <c r="E85" s="3">
        <v>94.097582182389701</v>
      </c>
      <c r="F85">
        <v>871970</v>
      </c>
      <c r="G85">
        <v>2175.34</v>
      </c>
      <c r="H85">
        <v>205</v>
      </c>
      <c r="I85" t="s">
        <v>10</v>
      </c>
    </row>
    <row r="86" spans="1:9" x14ac:dyDescent="0.25">
      <c r="A86" t="s">
        <v>478</v>
      </c>
      <c r="B86">
        <v>79.146704</v>
      </c>
      <c r="C86">
        <v>5.6289999999999996</v>
      </c>
      <c r="E86" s="3">
        <v>98.140654783800898</v>
      </c>
      <c r="F86">
        <v>1336718</v>
      </c>
      <c r="G86">
        <v>3396.21</v>
      </c>
      <c r="H86">
        <v>205</v>
      </c>
      <c r="I86" t="s">
        <v>10</v>
      </c>
    </row>
    <row r="87" spans="1:9" x14ac:dyDescent="0.25">
      <c r="A87" t="s">
        <v>479</v>
      </c>
      <c r="B87">
        <v>79.626429999999999</v>
      </c>
      <c r="C87">
        <v>9.6229999999999993</v>
      </c>
      <c r="E87" s="3">
        <v>94.793164565428199</v>
      </c>
      <c r="F87">
        <v>1285082</v>
      </c>
      <c r="G87">
        <v>3434.64</v>
      </c>
      <c r="H87">
        <v>207</v>
      </c>
      <c r="I87" t="s">
        <v>10</v>
      </c>
    </row>
    <row r="88" spans="1:9" x14ac:dyDescent="0.25">
      <c r="A88" t="s">
        <v>480</v>
      </c>
      <c r="B88">
        <v>79.740088999999998</v>
      </c>
      <c r="C88">
        <v>5.9870000000000001</v>
      </c>
      <c r="E88" s="3">
        <v>98.297829649199002</v>
      </c>
      <c r="F88">
        <v>1722338</v>
      </c>
      <c r="G88">
        <v>4251.68</v>
      </c>
      <c r="H88">
        <v>206</v>
      </c>
      <c r="I88" t="s">
        <v>10</v>
      </c>
    </row>
    <row r="89" spans="1:9" x14ac:dyDescent="0.25">
      <c r="A89" t="s">
        <v>481</v>
      </c>
      <c r="B89">
        <v>81.325348000000005</v>
      </c>
      <c r="C89">
        <v>10.574</v>
      </c>
      <c r="E89" s="3">
        <v>95.341604521285404</v>
      </c>
      <c r="F89">
        <v>1018062</v>
      </c>
      <c r="G89">
        <v>2586.38</v>
      </c>
      <c r="H89">
        <v>204</v>
      </c>
      <c r="I89" t="s">
        <v>10</v>
      </c>
    </row>
    <row r="90" spans="1:9" x14ac:dyDescent="0.25">
      <c r="A90" t="s">
        <v>482</v>
      </c>
      <c r="B90">
        <v>81.504734999999997</v>
      </c>
      <c r="C90">
        <v>5.8310000000000004</v>
      </c>
      <c r="E90" s="3">
        <v>7.0260508979032199</v>
      </c>
      <c r="F90">
        <v>2180958</v>
      </c>
      <c r="G90">
        <v>181.703</v>
      </c>
      <c r="H90">
        <v>207</v>
      </c>
      <c r="I90" t="s">
        <v>11</v>
      </c>
    </row>
    <row r="91" spans="1:9" x14ac:dyDescent="0.25">
      <c r="A91" t="s">
        <v>483</v>
      </c>
      <c r="B91">
        <v>81.507933000000008</v>
      </c>
      <c r="C91">
        <v>9.8650000000000002</v>
      </c>
      <c r="E91" s="3">
        <v>98.398154031368094</v>
      </c>
      <c r="F91">
        <v>2100870</v>
      </c>
      <c r="G91">
        <v>4524.04</v>
      </c>
      <c r="H91">
        <v>203</v>
      </c>
      <c r="I91" t="s">
        <v>10</v>
      </c>
    </row>
    <row r="92" spans="1:9" x14ac:dyDescent="0.25">
      <c r="A92" t="s">
        <v>484</v>
      </c>
      <c r="B92">
        <v>81.745404000000008</v>
      </c>
      <c r="C92">
        <v>3.9630000000000001</v>
      </c>
      <c r="E92" s="3">
        <v>92.505768651974705</v>
      </c>
      <c r="F92">
        <v>1124186</v>
      </c>
      <c r="G92">
        <v>2577.9699999999998</v>
      </c>
      <c r="H92">
        <v>202</v>
      </c>
      <c r="I92" t="s">
        <v>10</v>
      </c>
    </row>
    <row r="93" spans="1:9" x14ac:dyDescent="0.25">
      <c r="A93" t="s">
        <v>485</v>
      </c>
      <c r="B93">
        <v>82.918588999999997</v>
      </c>
      <c r="C93">
        <v>2.016</v>
      </c>
      <c r="E93" s="3">
        <v>99.294385178744605</v>
      </c>
      <c r="F93">
        <v>1317030</v>
      </c>
      <c r="G93">
        <v>3871.09</v>
      </c>
      <c r="H93">
        <v>208</v>
      </c>
      <c r="I93" t="s">
        <v>10</v>
      </c>
    </row>
    <row r="94" spans="1:9" x14ac:dyDescent="0.25">
      <c r="A94" t="s">
        <v>486</v>
      </c>
      <c r="B94">
        <v>83.550518999999994</v>
      </c>
      <c r="C94">
        <v>0.59099999999999997</v>
      </c>
      <c r="E94" s="3">
        <v>95.856603016419697</v>
      </c>
      <c r="F94">
        <v>911210</v>
      </c>
      <c r="G94">
        <v>2436.77</v>
      </c>
      <c r="H94">
        <v>207</v>
      </c>
      <c r="I94" t="s">
        <v>10</v>
      </c>
    </row>
    <row r="95" spans="1:9" x14ac:dyDescent="0.25">
      <c r="A95" t="s">
        <v>487</v>
      </c>
      <c r="B95">
        <v>84.703852999999995</v>
      </c>
      <c r="C95">
        <v>4.532</v>
      </c>
      <c r="E95" s="3">
        <v>95.990368859311701</v>
      </c>
      <c r="F95">
        <v>561012</v>
      </c>
      <c r="G95">
        <v>1360.85</v>
      </c>
      <c r="H95">
        <v>205</v>
      </c>
      <c r="I95" t="s">
        <v>10</v>
      </c>
    </row>
    <row r="96" spans="1:9" x14ac:dyDescent="0.25">
      <c r="A96" t="s">
        <v>488</v>
      </c>
      <c r="B96">
        <v>84.73052899999999</v>
      </c>
      <c r="C96">
        <v>9.1050000000000004</v>
      </c>
      <c r="E96" s="3">
        <v>98.344647694211204</v>
      </c>
      <c r="F96">
        <v>1130782</v>
      </c>
      <c r="G96">
        <v>3013.59</v>
      </c>
      <c r="H96">
        <v>204</v>
      </c>
      <c r="I96" t="s">
        <v>10</v>
      </c>
    </row>
    <row r="97" spans="1:9" x14ac:dyDescent="0.25">
      <c r="A97" t="s">
        <v>489</v>
      </c>
      <c r="B97">
        <v>84.747208000000001</v>
      </c>
      <c r="C97">
        <v>6.8029999999999999</v>
      </c>
      <c r="E97" s="39">
        <v>96.027154466107007</v>
      </c>
      <c r="F97">
        <v>887530</v>
      </c>
      <c r="G97">
        <v>2039.42</v>
      </c>
      <c r="H97">
        <v>203</v>
      </c>
      <c r="I97" t="s">
        <v>10</v>
      </c>
    </row>
    <row r="98" spans="1:9" x14ac:dyDescent="0.25">
      <c r="A98" t="s">
        <v>490</v>
      </c>
      <c r="B98">
        <v>84.830719999999999</v>
      </c>
      <c r="C98">
        <v>7.6340000000000003</v>
      </c>
      <c r="E98" s="3">
        <v>98.070427716282595</v>
      </c>
      <c r="F98">
        <v>1319892</v>
      </c>
      <c r="G98">
        <v>3090.93</v>
      </c>
      <c r="H98">
        <v>206</v>
      </c>
      <c r="I98" t="s">
        <v>10</v>
      </c>
    </row>
    <row r="99" spans="1:9" x14ac:dyDescent="0.25">
      <c r="A99" t="s">
        <v>491</v>
      </c>
      <c r="B99">
        <v>89.628720999999999</v>
      </c>
      <c r="C99">
        <v>11.272</v>
      </c>
      <c r="E99" s="3">
        <v>98.615523526067605</v>
      </c>
      <c r="F99">
        <v>851558</v>
      </c>
      <c r="G99">
        <v>2367.7600000000002</v>
      </c>
      <c r="H99">
        <v>207</v>
      </c>
      <c r="I99" t="s">
        <v>10</v>
      </c>
    </row>
    <row r="100" spans="1:9" x14ac:dyDescent="0.25">
      <c r="A100" t="s">
        <v>492</v>
      </c>
      <c r="B100">
        <v>90.493000000000009</v>
      </c>
      <c r="C100">
        <v>4.2610000000000001</v>
      </c>
      <c r="E100" s="3">
        <v>96.883255860615904</v>
      </c>
      <c r="F100">
        <v>1121720</v>
      </c>
      <c r="G100">
        <v>2762.22</v>
      </c>
      <c r="H100">
        <v>200</v>
      </c>
      <c r="I100" t="s">
        <v>10</v>
      </c>
    </row>
    <row r="101" spans="1:9" x14ac:dyDescent="0.25">
      <c r="A101" t="s">
        <v>493</v>
      </c>
      <c r="B101">
        <v>91.740870000000001</v>
      </c>
      <c r="C101">
        <v>7.8769999999999998</v>
      </c>
      <c r="E101" s="3">
        <v>97.548740929003699</v>
      </c>
      <c r="F101">
        <v>1283770</v>
      </c>
      <c r="G101">
        <v>3321.3</v>
      </c>
      <c r="H101">
        <v>204</v>
      </c>
      <c r="I101" t="s">
        <v>10</v>
      </c>
    </row>
    <row r="102" spans="1:9" x14ac:dyDescent="0.25">
      <c r="A102" t="s">
        <v>494</v>
      </c>
      <c r="B102">
        <v>92.056691999999998</v>
      </c>
      <c r="C102">
        <v>5.0570000000000004</v>
      </c>
      <c r="E102" s="3">
        <v>99.093736414406493</v>
      </c>
      <c r="F102">
        <v>1139638</v>
      </c>
      <c r="G102">
        <v>3105.94</v>
      </c>
      <c r="H102">
        <v>202</v>
      </c>
      <c r="I102" t="s">
        <v>10</v>
      </c>
    </row>
    <row r="103" spans="1:9" x14ac:dyDescent="0.25">
      <c r="A103" t="s">
        <v>495</v>
      </c>
      <c r="B103">
        <v>93.198533999999995</v>
      </c>
      <c r="C103">
        <v>5.2309999999999999</v>
      </c>
      <c r="E103" s="3">
        <v>97.769454569775604</v>
      </c>
      <c r="F103">
        <v>1474292</v>
      </c>
      <c r="G103">
        <v>3647.09</v>
      </c>
      <c r="H103">
        <v>203</v>
      </c>
      <c r="I103" t="s">
        <v>10</v>
      </c>
    </row>
    <row r="104" spans="1:9" x14ac:dyDescent="0.25">
      <c r="A104" t="s">
        <v>496</v>
      </c>
      <c r="B104">
        <v>94.05549400000001</v>
      </c>
      <c r="C104">
        <v>4.7510000000000003</v>
      </c>
      <c r="E104" s="3">
        <v>98.655653278935205</v>
      </c>
      <c r="F104">
        <v>1186038</v>
      </c>
      <c r="G104">
        <v>3470.16</v>
      </c>
      <c r="H104">
        <v>208</v>
      </c>
      <c r="I104" t="s">
        <v>10</v>
      </c>
    </row>
    <row r="105" spans="1:9" x14ac:dyDescent="0.25">
      <c r="A105" t="s">
        <v>497</v>
      </c>
      <c r="B105">
        <v>97.206291000000007</v>
      </c>
      <c r="C105">
        <v>2.4630000000000001</v>
      </c>
      <c r="E105" s="3">
        <v>98.475069391030999</v>
      </c>
      <c r="F105">
        <v>921602</v>
      </c>
      <c r="G105">
        <v>2726.43</v>
      </c>
      <c r="H105">
        <v>208</v>
      </c>
      <c r="I105" t="s">
        <v>10</v>
      </c>
    </row>
    <row r="106" spans="1:9" x14ac:dyDescent="0.25">
      <c r="A106" t="s">
        <v>498</v>
      </c>
      <c r="B106">
        <v>98.62347299999999</v>
      </c>
      <c r="C106">
        <v>6.4569999999999999</v>
      </c>
      <c r="E106" s="3">
        <v>97.200949737484507</v>
      </c>
      <c r="F106">
        <v>2706168</v>
      </c>
      <c r="G106">
        <v>6851.67</v>
      </c>
      <c r="H106">
        <v>214</v>
      </c>
      <c r="I106" t="s">
        <v>10</v>
      </c>
    </row>
    <row r="107" spans="1:9" x14ac:dyDescent="0.25">
      <c r="A107" t="s">
        <v>499</v>
      </c>
      <c r="B107">
        <v>99.781266000000002</v>
      </c>
      <c r="C107">
        <v>8.907</v>
      </c>
      <c r="E107" s="39">
        <v>97.521987760425304</v>
      </c>
      <c r="F107">
        <v>2170426</v>
      </c>
      <c r="G107">
        <v>5192.57</v>
      </c>
      <c r="H107">
        <v>203</v>
      </c>
      <c r="I107" t="s">
        <v>10</v>
      </c>
    </row>
    <row r="108" spans="1:9" x14ac:dyDescent="0.25">
      <c r="A108" t="s">
        <v>500</v>
      </c>
      <c r="B108">
        <v>100.41200000000001</v>
      </c>
      <c r="C108">
        <v>5.9710000000000001</v>
      </c>
      <c r="E108" s="3">
        <v>99.036885931177395</v>
      </c>
      <c r="F108">
        <v>1172314</v>
      </c>
      <c r="G108">
        <v>3100.65</v>
      </c>
      <c r="H108">
        <v>201</v>
      </c>
      <c r="I108" t="s">
        <v>10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7CDD-0F50-4731-B27B-417A6524F838}">
  <dimension ref="A1:R38"/>
  <sheetViews>
    <sheetView workbookViewId="0">
      <selection activeCell="E2" sqref="E2"/>
    </sheetView>
  </sheetViews>
  <sheetFormatPr defaultRowHeight="15" x14ac:dyDescent="0.25"/>
  <cols>
    <col min="1" max="1" width="14.5703125" customWidth="1"/>
    <col min="2" max="2" width="14" bestFit="1" customWidth="1"/>
    <col min="3" max="3" width="21.28515625" bestFit="1" customWidth="1"/>
    <col min="4" max="4" width="13.5703125" bestFit="1" customWidth="1"/>
    <col min="5" max="5" width="15.7109375" bestFit="1" customWidth="1"/>
    <col min="6" max="6" width="21.140625" bestFit="1" customWidth="1"/>
    <col min="7" max="7" width="11.28515625" bestFit="1" customWidth="1"/>
    <col min="8" max="8" width="9.28515625" bestFit="1" customWidth="1"/>
    <col min="9" max="9" width="10.7109375" bestFit="1" customWidth="1"/>
  </cols>
  <sheetData>
    <row r="1" spans="1:1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19</v>
      </c>
      <c r="L1" s="5" t="s">
        <v>13</v>
      </c>
      <c r="M1" s="6" t="s">
        <v>14</v>
      </c>
      <c r="N1" s="6" t="s">
        <v>15</v>
      </c>
      <c r="O1" s="6" t="s">
        <v>16</v>
      </c>
      <c r="P1" s="6" t="s">
        <v>9</v>
      </c>
      <c r="Q1" s="6" t="s">
        <v>17</v>
      </c>
      <c r="R1" s="7" t="s">
        <v>18</v>
      </c>
    </row>
    <row r="2" spans="1:18" x14ac:dyDescent="0.25">
      <c r="A2" t="s">
        <v>501</v>
      </c>
      <c r="B2">
        <v>102.21539900000001</v>
      </c>
      <c r="C2">
        <v>4.7080000000000002</v>
      </c>
      <c r="E2">
        <v>99.377988830552098</v>
      </c>
      <c r="F2">
        <v>1260336</v>
      </c>
      <c r="G2">
        <v>3434.53</v>
      </c>
      <c r="H2">
        <v>205</v>
      </c>
      <c r="I2" t="s">
        <v>10</v>
      </c>
      <c r="L2">
        <f>COUNTIF(I2:I320,"A")</f>
        <v>35</v>
      </c>
      <c r="M2">
        <f>COUNTIF(I2:I320,"B")</f>
        <v>1</v>
      </c>
      <c r="N2">
        <f>SUM(L2:M2)</f>
        <v>36</v>
      </c>
      <c r="O2">
        <f>COUNTIF(I1:I320,"C")</f>
        <v>1</v>
      </c>
      <c r="P2">
        <f>(O2/(L2+M2+O2))*100</f>
        <v>2.7027027027027026</v>
      </c>
      <c r="Q2">
        <f>(L2/(L2+M2+O2))*100</f>
        <v>94.594594594594597</v>
      </c>
      <c r="R2">
        <f>(N2/(N2+O2))*100</f>
        <v>97.297297297297305</v>
      </c>
    </row>
    <row r="3" spans="1:18" x14ac:dyDescent="0.25">
      <c r="A3" t="s">
        <v>502</v>
      </c>
      <c r="B3">
        <v>104.313209</v>
      </c>
      <c r="C3">
        <v>9.1920000000000002</v>
      </c>
      <c r="E3" s="38">
        <v>99.334514931612205</v>
      </c>
      <c r="F3">
        <v>2505788</v>
      </c>
      <c r="G3">
        <v>6237.87</v>
      </c>
      <c r="H3">
        <v>203</v>
      </c>
      <c r="I3" t="s">
        <v>10</v>
      </c>
    </row>
    <row r="4" spans="1:18" x14ac:dyDescent="0.25">
      <c r="A4" t="s">
        <v>503</v>
      </c>
      <c r="B4">
        <v>104.704353</v>
      </c>
      <c r="C4">
        <v>3.8969999999999998</v>
      </c>
      <c r="E4">
        <v>99.247567133732403</v>
      </c>
      <c r="F4">
        <v>1461300</v>
      </c>
      <c r="G4">
        <v>4261.21</v>
      </c>
      <c r="H4">
        <v>208</v>
      </c>
      <c r="I4" t="s">
        <v>10</v>
      </c>
    </row>
    <row r="5" spans="1:18" x14ac:dyDescent="0.25">
      <c r="A5" t="s">
        <v>504</v>
      </c>
      <c r="B5">
        <v>105.408823</v>
      </c>
      <c r="C5">
        <v>12.016</v>
      </c>
      <c r="E5" s="38">
        <v>97.114001939604705</v>
      </c>
      <c r="F5">
        <v>1747794</v>
      </c>
      <c r="G5">
        <v>3963.19</v>
      </c>
      <c r="H5">
        <v>203</v>
      </c>
      <c r="I5" t="s">
        <v>10</v>
      </c>
    </row>
    <row r="6" spans="1:18" x14ac:dyDescent="0.25">
      <c r="A6" t="s">
        <v>505</v>
      </c>
      <c r="B6">
        <v>106.67701199999999</v>
      </c>
      <c r="C6">
        <v>6.1559999999999997</v>
      </c>
      <c r="E6">
        <v>98.224258435608405</v>
      </c>
      <c r="F6">
        <v>1106086</v>
      </c>
      <c r="G6">
        <v>2685.47</v>
      </c>
      <c r="H6">
        <v>206</v>
      </c>
      <c r="I6" t="s">
        <v>10</v>
      </c>
    </row>
    <row r="7" spans="1:18" x14ac:dyDescent="0.25">
      <c r="A7" t="s">
        <v>506</v>
      </c>
      <c r="B7">
        <v>106.908789</v>
      </c>
      <c r="C7">
        <v>3.0539999999999998</v>
      </c>
      <c r="E7">
        <v>99.384677122696701</v>
      </c>
      <c r="F7">
        <v>1052924</v>
      </c>
      <c r="G7">
        <v>3115.89</v>
      </c>
      <c r="H7">
        <v>208</v>
      </c>
      <c r="I7" t="s">
        <v>10</v>
      </c>
    </row>
    <row r="8" spans="1:18" x14ac:dyDescent="0.25">
      <c r="A8" t="s">
        <v>507</v>
      </c>
      <c r="B8">
        <v>107.22267399999998</v>
      </c>
      <c r="C8">
        <v>5.3</v>
      </c>
      <c r="E8">
        <v>98.030297963414995</v>
      </c>
      <c r="F8">
        <v>1041684</v>
      </c>
      <c r="G8">
        <v>2608.79</v>
      </c>
      <c r="H8">
        <v>206</v>
      </c>
      <c r="I8" t="s">
        <v>10</v>
      </c>
    </row>
    <row r="9" spans="1:18" x14ac:dyDescent="0.25">
      <c r="A9" t="s">
        <v>508</v>
      </c>
      <c r="B9">
        <v>107.24378600000001</v>
      </c>
      <c r="C9">
        <v>6.4059999999999997</v>
      </c>
      <c r="E9">
        <v>92.525833528408498</v>
      </c>
      <c r="F9">
        <v>1218362</v>
      </c>
      <c r="G9">
        <v>3221.85</v>
      </c>
      <c r="H9">
        <v>203</v>
      </c>
      <c r="I9" t="s">
        <v>10</v>
      </c>
    </row>
    <row r="10" spans="1:18" x14ac:dyDescent="0.25">
      <c r="A10" t="s">
        <v>509</v>
      </c>
      <c r="B10">
        <v>107.37329200000001</v>
      </c>
      <c r="C10">
        <v>4.5880000000000001</v>
      </c>
      <c r="E10">
        <v>91.054409256596301</v>
      </c>
      <c r="F10">
        <v>4004144</v>
      </c>
      <c r="G10">
        <v>9477.76</v>
      </c>
      <c r="H10">
        <v>214</v>
      </c>
      <c r="I10" t="s">
        <v>10</v>
      </c>
    </row>
    <row r="11" spans="1:18" x14ac:dyDescent="0.25">
      <c r="A11" t="s">
        <v>510</v>
      </c>
      <c r="B11">
        <v>108.65400000000001</v>
      </c>
      <c r="C11">
        <v>4.5659999999999998</v>
      </c>
      <c r="E11">
        <v>97.498578737919203</v>
      </c>
      <c r="F11">
        <v>720770</v>
      </c>
      <c r="G11">
        <v>1852.08</v>
      </c>
      <c r="H11">
        <v>201</v>
      </c>
      <c r="I11" t="s">
        <v>10</v>
      </c>
    </row>
    <row r="12" spans="1:18" x14ac:dyDescent="0.25">
      <c r="A12" t="s">
        <v>511</v>
      </c>
      <c r="B12">
        <v>111.222397</v>
      </c>
      <c r="C12">
        <v>3.1469999999999998</v>
      </c>
      <c r="E12">
        <v>99.277664448383106</v>
      </c>
      <c r="F12">
        <v>1646880</v>
      </c>
      <c r="G12">
        <v>4808.8999999999996</v>
      </c>
      <c r="H12">
        <v>208</v>
      </c>
      <c r="I12" t="s">
        <v>10</v>
      </c>
    </row>
    <row r="13" spans="1:18" x14ac:dyDescent="0.25">
      <c r="A13" t="s">
        <v>512</v>
      </c>
      <c r="B13">
        <v>112.830978</v>
      </c>
      <c r="C13">
        <v>5.4630000000000001</v>
      </c>
      <c r="E13">
        <v>98.963314717586798</v>
      </c>
      <c r="F13">
        <v>1149784</v>
      </c>
      <c r="G13">
        <v>2881.61</v>
      </c>
      <c r="H13">
        <v>206</v>
      </c>
      <c r="I13" t="s">
        <v>10</v>
      </c>
    </row>
    <row r="14" spans="1:18" x14ac:dyDescent="0.25">
      <c r="A14" t="s">
        <v>513</v>
      </c>
      <c r="B14">
        <v>112.892</v>
      </c>
      <c r="C14">
        <v>2.3159999999999998</v>
      </c>
      <c r="E14">
        <v>98.254355750259094</v>
      </c>
      <c r="F14">
        <v>340390</v>
      </c>
      <c r="G14">
        <v>942.50800000000004</v>
      </c>
      <c r="H14">
        <v>201</v>
      </c>
      <c r="I14" t="s">
        <v>10</v>
      </c>
    </row>
    <row r="15" spans="1:18" x14ac:dyDescent="0.25">
      <c r="A15" t="s">
        <v>514</v>
      </c>
      <c r="B15">
        <v>112.96892099999999</v>
      </c>
      <c r="C15">
        <v>4.6589999999999998</v>
      </c>
      <c r="E15">
        <v>97.6758184797512</v>
      </c>
      <c r="F15">
        <v>1069196</v>
      </c>
      <c r="G15">
        <v>2619.71</v>
      </c>
      <c r="H15">
        <v>206</v>
      </c>
      <c r="I15" t="s">
        <v>10</v>
      </c>
    </row>
    <row r="16" spans="1:18" x14ac:dyDescent="0.25">
      <c r="A16" t="s">
        <v>515</v>
      </c>
      <c r="B16">
        <v>121.894409</v>
      </c>
      <c r="C16">
        <v>6.133</v>
      </c>
      <c r="E16">
        <v>98.598802795706106</v>
      </c>
      <c r="F16">
        <v>1084158</v>
      </c>
      <c r="G16">
        <v>3201.97</v>
      </c>
      <c r="H16">
        <v>207</v>
      </c>
      <c r="I16" t="s">
        <v>10</v>
      </c>
    </row>
    <row r="17" spans="1:9" x14ac:dyDescent="0.25">
      <c r="A17" t="s">
        <v>516</v>
      </c>
      <c r="B17">
        <v>123.13489499999999</v>
      </c>
      <c r="C17">
        <v>7.1210000000000004</v>
      </c>
      <c r="E17">
        <v>97.451760692907001</v>
      </c>
      <c r="F17">
        <v>2180616</v>
      </c>
      <c r="G17">
        <v>6024.83</v>
      </c>
      <c r="H17">
        <v>212</v>
      </c>
      <c r="I17" t="s">
        <v>10</v>
      </c>
    </row>
    <row r="18" spans="1:9" x14ac:dyDescent="0.25">
      <c r="A18" t="s">
        <v>517</v>
      </c>
      <c r="B18">
        <v>128.56491700000001</v>
      </c>
      <c r="C18">
        <v>7.0060000000000002</v>
      </c>
      <c r="E18">
        <v>99.163963481924895</v>
      </c>
      <c r="F18">
        <v>1116190</v>
      </c>
      <c r="G18">
        <v>2857.23</v>
      </c>
      <c r="H18">
        <v>206</v>
      </c>
      <c r="I18" t="s">
        <v>10</v>
      </c>
    </row>
    <row r="19" spans="1:9" x14ac:dyDescent="0.25">
      <c r="A19" t="s">
        <v>518</v>
      </c>
      <c r="B19">
        <v>131.18033500000001</v>
      </c>
      <c r="C19">
        <v>5.4619999999999997</v>
      </c>
      <c r="E19">
        <v>97.913252850884504</v>
      </c>
      <c r="F19">
        <v>1140442</v>
      </c>
      <c r="G19">
        <v>2877.95</v>
      </c>
      <c r="H19">
        <v>205</v>
      </c>
      <c r="I19" t="s">
        <v>10</v>
      </c>
    </row>
    <row r="20" spans="1:9" x14ac:dyDescent="0.25">
      <c r="A20" t="s">
        <v>519</v>
      </c>
      <c r="B20">
        <v>136.11864500000001</v>
      </c>
      <c r="C20">
        <v>2.972</v>
      </c>
      <c r="E20">
        <v>99.127177875129505</v>
      </c>
      <c r="F20">
        <v>1147618</v>
      </c>
      <c r="G20">
        <v>3369.57</v>
      </c>
      <c r="H20">
        <v>208</v>
      </c>
      <c r="I20" t="s">
        <v>10</v>
      </c>
    </row>
    <row r="21" spans="1:9" x14ac:dyDescent="0.25">
      <c r="A21" t="s">
        <v>520</v>
      </c>
      <c r="B21">
        <v>138.66002800000001</v>
      </c>
      <c r="C21">
        <v>2.3199999999999998</v>
      </c>
      <c r="E21">
        <v>91.154733638765293</v>
      </c>
      <c r="F21">
        <v>1523418</v>
      </c>
      <c r="G21">
        <v>3577.9</v>
      </c>
      <c r="H21">
        <v>221</v>
      </c>
      <c r="I21" t="s">
        <v>10</v>
      </c>
    </row>
    <row r="22" spans="1:9" x14ac:dyDescent="0.25">
      <c r="A22" t="s">
        <v>521</v>
      </c>
      <c r="B22">
        <v>140.02527499999999</v>
      </c>
      <c r="C22">
        <v>3.855</v>
      </c>
      <c r="E22">
        <v>97.699227502257301</v>
      </c>
      <c r="F22">
        <v>2885906</v>
      </c>
      <c r="G22">
        <v>6850.99</v>
      </c>
      <c r="H22">
        <v>215</v>
      </c>
      <c r="I22" t="s">
        <v>10</v>
      </c>
    </row>
    <row r="23" spans="1:9" x14ac:dyDescent="0.25">
      <c r="A23" t="s">
        <v>522</v>
      </c>
      <c r="B23">
        <v>141.11388200000002</v>
      </c>
      <c r="C23">
        <v>5.0599999999999996</v>
      </c>
      <c r="E23">
        <v>96.555529545530504</v>
      </c>
      <c r="F23">
        <v>2118606</v>
      </c>
      <c r="G23">
        <v>4046.33</v>
      </c>
      <c r="H23">
        <v>223</v>
      </c>
      <c r="I23" t="s">
        <v>10</v>
      </c>
    </row>
    <row r="24" spans="1:9" x14ac:dyDescent="0.25">
      <c r="A24" t="s">
        <v>523</v>
      </c>
      <c r="B24">
        <v>142.922923</v>
      </c>
      <c r="C24">
        <v>5.8460000000000001</v>
      </c>
      <c r="E24">
        <v>97.194261445339905</v>
      </c>
      <c r="F24">
        <v>1671090</v>
      </c>
      <c r="G24">
        <v>4557.1099999999997</v>
      </c>
      <c r="H24">
        <v>204</v>
      </c>
      <c r="I24" t="s">
        <v>10</v>
      </c>
    </row>
    <row r="25" spans="1:9" x14ac:dyDescent="0.25">
      <c r="A25" t="s">
        <v>524</v>
      </c>
      <c r="B25">
        <v>143.040716</v>
      </c>
      <c r="C25">
        <v>3.0779999999999998</v>
      </c>
      <c r="E25">
        <v>96.104069825769898</v>
      </c>
      <c r="F25">
        <v>3409702</v>
      </c>
      <c r="G25">
        <v>7766.44</v>
      </c>
      <c r="H25">
        <v>215</v>
      </c>
      <c r="I25" t="s">
        <v>10</v>
      </c>
    </row>
    <row r="26" spans="1:9" x14ac:dyDescent="0.25">
      <c r="A26" t="s">
        <v>525</v>
      </c>
      <c r="B26">
        <v>154.30862200000001</v>
      </c>
      <c r="C26">
        <v>5.81</v>
      </c>
      <c r="E26">
        <v>99.488345650938001</v>
      </c>
      <c r="F26">
        <v>1184080</v>
      </c>
      <c r="G26">
        <v>3214.87</v>
      </c>
      <c r="H26">
        <v>205</v>
      </c>
      <c r="I26" t="s">
        <v>10</v>
      </c>
    </row>
    <row r="27" spans="1:9" x14ac:dyDescent="0.25">
      <c r="A27" t="s">
        <v>526</v>
      </c>
      <c r="B27">
        <v>161.79274799999999</v>
      </c>
      <c r="C27">
        <v>4.6210000000000004</v>
      </c>
      <c r="E27">
        <v>97.966759188041294</v>
      </c>
      <c r="F27">
        <v>950402</v>
      </c>
      <c r="G27">
        <v>2358.98</v>
      </c>
      <c r="H27">
        <v>205</v>
      </c>
      <c r="I27" t="s">
        <v>10</v>
      </c>
    </row>
    <row r="28" spans="1:9" x14ac:dyDescent="0.25">
      <c r="A28" t="s">
        <v>527</v>
      </c>
      <c r="B28">
        <v>165.88139100000001</v>
      </c>
      <c r="C28">
        <v>6.9790000000000001</v>
      </c>
      <c r="E28" s="38">
        <v>98.802795706116399</v>
      </c>
      <c r="F28">
        <v>1799962</v>
      </c>
      <c r="G28">
        <v>4417.54</v>
      </c>
      <c r="H28">
        <v>203</v>
      </c>
      <c r="I28" t="s">
        <v>10</v>
      </c>
    </row>
    <row r="29" spans="1:9" x14ac:dyDescent="0.25">
      <c r="A29" t="s">
        <v>528</v>
      </c>
      <c r="B29">
        <v>168.195066</v>
      </c>
      <c r="C29">
        <v>3.806</v>
      </c>
      <c r="E29">
        <v>99.097080560478801</v>
      </c>
      <c r="F29">
        <v>1326082</v>
      </c>
      <c r="G29">
        <v>3673.45</v>
      </c>
      <c r="H29">
        <v>205</v>
      </c>
      <c r="I29" t="s">
        <v>10</v>
      </c>
    </row>
    <row r="30" spans="1:9" x14ac:dyDescent="0.25">
      <c r="A30" t="s">
        <v>529</v>
      </c>
      <c r="B30">
        <v>169.57131099999998</v>
      </c>
      <c r="C30">
        <v>7.3029999999999999</v>
      </c>
      <c r="E30" s="38">
        <v>84.198909808380407</v>
      </c>
      <c r="F30">
        <v>1359436</v>
      </c>
      <c r="G30">
        <v>1934.26</v>
      </c>
      <c r="H30">
        <v>203</v>
      </c>
      <c r="I30" t="s">
        <v>12</v>
      </c>
    </row>
    <row r="31" spans="1:9" x14ac:dyDescent="0.25">
      <c r="A31" t="s">
        <v>530</v>
      </c>
      <c r="B31">
        <v>173.816318</v>
      </c>
      <c r="C31">
        <v>6.7729999999999997</v>
      </c>
      <c r="E31">
        <v>99.030197639032806</v>
      </c>
      <c r="F31">
        <v>1264188</v>
      </c>
      <c r="G31">
        <v>3288.21</v>
      </c>
      <c r="H31">
        <v>206</v>
      </c>
      <c r="I31" t="s">
        <v>10</v>
      </c>
    </row>
    <row r="32" spans="1:9" x14ac:dyDescent="0.25">
      <c r="A32" t="s">
        <v>531</v>
      </c>
      <c r="B32">
        <v>199.98218500000002</v>
      </c>
      <c r="C32">
        <v>0.69</v>
      </c>
      <c r="E32">
        <v>1.1704511253051499</v>
      </c>
      <c r="F32">
        <v>3005114</v>
      </c>
      <c r="G32">
        <v>0.33638800000000002</v>
      </c>
      <c r="H32">
        <v>219</v>
      </c>
      <c r="I32" t="s">
        <v>11</v>
      </c>
    </row>
    <row r="33" spans="1:9" x14ac:dyDescent="0.25">
      <c r="A33" t="s">
        <v>532</v>
      </c>
      <c r="B33">
        <v>204.89286999999999</v>
      </c>
      <c r="C33">
        <v>1.2410000000000001</v>
      </c>
      <c r="E33">
        <v>96.980236096712702</v>
      </c>
      <c r="F33">
        <v>368614</v>
      </c>
      <c r="G33">
        <v>1124.6600000000001</v>
      </c>
      <c r="H33">
        <v>207</v>
      </c>
      <c r="I33" t="s">
        <v>10</v>
      </c>
    </row>
    <row r="34" spans="1:9" x14ac:dyDescent="0.25">
      <c r="A34" t="s">
        <v>533</v>
      </c>
      <c r="B34">
        <v>346.30205999999998</v>
      </c>
      <c r="C34">
        <v>0.16300000000000001</v>
      </c>
      <c r="E34">
        <v>99.297729324816899</v>
      </c>
      <c r="F34">
        <v>1786942</v>
      </c>
      <c r="G34">
        <v>4231.62</v>
      </c>
      <c r="H34">
        <v>207</v>
      </c>
      <c r="I34" t="s">
        <v>10</v>
      </c>
    </row>
    <row r="35" spans="1:9" x14ac:dyDescent="0.25">
      <c r="A35" t="s">
        <v>534</v>
      </c>
      <c r="B35">
        <v>387.10198800000001</v>
      </c>
      <c r="C35">
        <v>5.23</v>
      </c>
      <c r="E35">
        <v>99.307761763033795</v>
      </c>
      <c r="F35">
        <v>1856452</v>
      </c>
      <c r="G35">
        <v>5259.5</v>
      </c>
      <c r="H35">
        <v>202</v>
      </c>
      <c r="I35" t="s">
        <v>10</v>
      </c>
    </row>
    <row r="36" spans="1:9" x14ac:dyDescent="0.25">
      <c r="A36" t="s">
        <v>535</v>
      </c>
      <c r="B36">
        <v>460.2</v>
      </c>
      <c r="C36">
        <v>6.7519999999999998</v>
      </c>
      <c r="E36">
        <v>99.347891515901395</v>
      </c>
      <c r="F36">
        <v>1239144</v>
      </c>
      <c r="G36">
        <v>3516.23</v>
      </c>
      <c r="H36">
        <v>201</v>
      </c>
      <c r="I36" t="s">
        <v>10</v>
      </c>
    </row>
    <row r="37" spans="1:9" x14ac:dyDescent="0.25">
      <c r="A37" t="s">
        <v>536</v>
      </c>
      <c r="B37">
        <v>683.89518600000008</v>
      </c>
      <c r="C37">
        <v>2.8090000000000002</v>
      </c>
      <c r="E37">
        <v>99.331170785539896</v>
      </c>
      <c r="F37">
        <v>2272758</v>
      </c>
      <c r="G37">
        <v>6419.54</v>
      </c>
      <c r="H37">
        <v>217</v>
      </c>
      <c r="I37" t="s">
        <v>10</v>
      </c>
    </row>
    <row r="38" spans="1:9" x14ac:dyDescent="0.25">
      <c r="A38" t="s">
        <v>537</v>
      </c>
      <c r="B38">
        <v>734.01581499999998</v>
      </c>
      <c r="C38">
        <v>5.5350000000000001</v>
      </c>
      <c r="E38">
        <v>99.234190549443198</v>
      </c>
      <c r="F38">
        <v>1356284</v>
      </c>
      <c r="G38">
        <v>3573.88</v>
      </c>
      <c r="H38">
        <v>203</v>
      </c>
      <c r="I38" t="s">
        <v>10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EB753-0F92-43C9-BBE5-A08DDC8CD279}">
  <dimension ref="C3:K30"/>
  <sheetViews>
    <sheetView workbookViewId="0">
      <selection activeCell="L10" sqref="L10"/>
    </sheetView>
  </sheetViews>
  <sheetFormatPr defaultRowHeight="15" x14ac:dyDescent="0.25"/>
  <cols>
    <col min="3" max="3" width="14" customWidth="1"/>
    <col min="8" max="8" width="15.140625" customWidth="1"/>
    <col min="9" max="9" width="15.85546875" customWidth="1"/>
    <col min="10" max="10" width="16" customWidth="1"/>
    <col min="11" max="11" width="15.5703125" customWidth="1"/>
  </cols>
  <sheetData>
    <row r="3" spans="3:11" ht="15.75" thickBot="1" x14ac:dyDescent="0.3"/>
    <row r="4" spans="3:11" ht="28.9" customHeight="1" thickBot="1" x14ac:dyDescent="0.3">
      <c r="C4" s="35" t="s">
        <v>20</v>
      </c>
      <c r="D4" s="36" t="s">
        <v>13</v>
      </c>
      <c r="E4" s="36" t="s">
        <v>14</v>
      </c>
      <c r="F4" s="36" t="s">
        <v>15</v>
      </c>
      <c r="G4" s="36" t="s">
        <v>16</v>
      </c>
      <c r="H4" s="36" t="s">
        <v>9</v>
      </c>
      <c r="I4" s="36" t="s">
        <v>17</v>
      </c>
      <c r="J4" s="37" t="s">
        <v>18</v>
      </c>
      <c r="K4" s="23"/>
    </row>
    <row r="5" spans="3:11" x14ac:dyDescent="0.25">
      <c r="C5" s="27" t="s">
        <v>21</v>
      </c>
      <c r="D5" s="28"/>
      <c r="E5" s="28"/>
      <c r="F5" s="28"/>
      <c r="G5" s="28"/>
      <c r="H5" s="29"/>
      <c r="I5" s="29"/>
      <c r="J5" s="30"/>
    </row>
    <row r="6" spans="3:11" x14ac:dyDescent="0.25">
      <c r="C6" s="24" t="s">
        <v>22</v>
      </c>
      <c r="D6" s="21"/>
      <c r="E6" s="21"/>
      <c r="F6" s="21"/>
      <c r="G6" s="21"/>
      <c r="H6" s="31"/>
      <c r="I6" s="31"/>
      <c r="J6" s="32"/>
    </row>
    <row r="7" spans="3:11" x14ac:dyDescent="0.25">
      <c r="C7" s="24" t="s">
        <v>23</v>
      </c>
      <c r="D7" s="21"/>
      <c r="E7" s="21"/>
      <c r="F7" s="21"/>
      <c r="G7" s="21"/>
      <c r="H7" s="31"/>
      <c r="I7" s="31"/>
      <c r="J7" s="32"/>
    </row>
    <row r="8" spans="3:11" x14ac:dyDescent="0.25">
      <c r="C8" s="24" t="s">
        <v>24</v>
      </c>
      <c r="D8" s="21"/>
      <c r="E8" s="21"/>
      <c r="F8" s="21"/>
      <c r="G8" s="21"/>
      <c r="H8" s="31"/>
      <c r="I8" s="31"/>
      <c r="J8" s="32"/>
    </row>
    <row r="9" spans="3:11" x14ac:dyDescent="0.25">
      <c r="C9" s="24" t="s">
        <v>25</v>
      </c>
      <c r="D9" s="21"/>
      <c r="E9" s="21"/>
      <c r="F9" s="21"/>
      <c r="G9" s="21"/>
      <c r="H9" s="31"/>
      <c r="I9" s="31"/>
      <c r="J9" s="32"/>
    </row>
    <row r="10" spans="3:11" x14ac:dyDescent="0.25">
      <c r="C10" s="24" t="s">
        <v>26</v>
      </c>
      <c r="D10" s="21"/>
      <c r="E10" s="21"/>
      <c r="F10" s="21"/>
      <c r="G10" s="21"/>
      <c r="H10" s="31"/>
      <c r="I10" s="31"/>
      <c r="J10" s="32"/>
    </row>
    <row r="11" spans="3:11" x14ac:dyDescent="0.25">
      <c r="C11" s="24" t="s">
        <v>27</v>
      </c>
      <c r="D11" s="21"/>
      <c r="E11" s="21"/>
      <c r="F11" s="21"/>
      <c r="G11" s="21"/>
      <c r="H11" s="31"/>
      <c r="I11" s="31"/>
      <c r="J11" s="32"/>
    </row>
    <row r="12" spans="3:11" ht="15.75" thickBot="1" x14ac:dyDescent="0.3">
      <c r="C12" s="25" t="s">
        <v>28</v>
      </c>
      <c r="D12" s="26"/>
      <c r="E12" s="26"/>
      <c r="F12" s="26"/>
      <c r="G12" s="26"/>
      <c r="H12" s="33"/>
      <c r="I12" s="33"/>
      <c r="J12" s="34"/>
    </row>
    <row r="13" spans="3:11" x14ac:dyDescent="0.25">
      <c r="C13" s="22"/>
    </row>
    <row r="14" spans="3:11" x14ac:dyDescent="0.25">
      <c r="C14" s="22"/>
    </row>
    <row r="15" spans="3:11" x14ac:dyDescent="0.25">
      <c r="C15" s="22"/>
    </row>
    <row r="16" spans="3:11" x14ac:dyDescent="0.25">
      <c r="C16" s="22"/>
    </row>
    <row r="17" spans="3:3" x14ac:dyDescent="0.25">
      <c r="C17" s="22"/>
    </row>
    <row r="18" spans="3:3" x14ac:dyDescent="0.25">
      <c r="C18" s="22"/>
    </row>
    <row r="19" spans="3:3" x14ac:dyDescent="0.25">
      <c r="C19" s="22"/>
    </row>
    <row r="20" spans="3:3" x14ac:dyDescent="0.25">
      <c r="C20" s="22"/>
    </row>
    <row r="21" spans="3:3" x14ac:dyDescent="0.25">
      <c r="C21" s="22"/>
    </row>
    <row r="22" spans="3:3" x14ac:dyDescent="0.25">
      <c r="C22" s="22"/>
    </row>
    <row r="23" spans="3:3" x14ac:dyDescent="0.25">
      <c r="C23" s="22"/>
    </row>
    <row r="24" spans="3:3" x14ac:dyDescent="0.25">
      <c r="C24" s="22"/>
    </row>
    <row r="25" spans="3:3" x14ac:dyDescent="0.25">
      <c r="C25" s="22"/>
    </row>
    <row r="26" spans="3:3" x14ac:dyDescent="0.25">
      <c r="C26" s="22"/>
    </row>
    <row r="27" spans="3:3" x14ac:dyDescent="0.25">
      <c r="C27" s="22"/>
    </row>
    <row r="28" spans="3:3" x14ac:dyDescent="0.25">
      <c r="C28" s="22"/>
    </row>
    <row r="29" spans="3:3" x14ac:dyDescent="0.25">
      <c r="C29" s="22"/>
    </row>
    <row r="30" spans="3:3" x14ac:dyDescent="0.25">
      <c r="C30" s="2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0-4</vt:lpstr>
      <vt:lpstr>10-14</vt:lpstr>
      <vt:lpstr>15-19</vt:lpstr>
      <vt:lpstr>10-19</vt:lpstr>
      <vt:lpstr>20-29</vt:lpstr>
      <vt:lpstr>30-39</vt:lpstr>
      <vt:lpstr>40-49</vt:lpstr>
      <vt:lpstr>50-100</vt:lpstr>
      <vt:lpstr>100-1000</vt:lpstr>
      <vt:lpstr>Val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Darren E (DOH)</dc:creator>
  <cp:lastModifiedBy>Faruolo, Catherine L (DOH Fellow)</cp:lastModifiedBy>
  <dcterms:created xsi:type="dcterms:W3CDTF">2023-07-11T16:56:11Z</dcterms:created>
  <dcterms:modified xsi:type="dcterms:W3CDTF">2026-03-04T02:07:58Z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2023-07-11T18:06:02Z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26b41943-3e7c-4547-bd73-2626e683f4c0</vt:lpwstr>
  </property>
  <property fmtid="{D5CDD505-2E9C-101B-9397-08002B2CF9AE}" pid="8" name="MSIP_Label_1520fa42-cf58-4c22-8b93-58cf1d3bd1cb_ContentBits">
    <vt:lpwstr>0</vt:lpwstr>
  </property>
</Properties>
</file>